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General" sheetId="1" r:id="rId4"/>
    <sheet state="visible" name="Planificación por HU" sheetId="2" r:id="rId5"/>
    <sheet state="visible" name="Cronograma" sheetId="3" r:id="rId6"/>
  </sheets>
  <definedNames/>
  <calcPr/>
  <extLst>
    <ext uri="GoogleSheetsCustomDataVersion2">
      <go:sheetsCustomData xmlns:go="http://customooxmlschemas.google.com/" r:id="rId7" roundtripDataChecksum="ktHeoVuazPYV9rrLrRiGHdtPQZ7BIbEyfxy5jRpOZPA="/>
    </ext>
  </extLst>
</workbook>
</file>

<file path=xl/sharedStrings.xml><?xml version="1.0" encoding="utf-8"?>
<sst xmlns="http://schemas.openxmlformats.org/spreadsheetml/2006/main" count="298" uniqueCount="160">
  <si>
    <t>ESTIMACIÓN DE TIEMPO, COSTO Y ESFUERZO — EduLoop | Ciclo de Vida del Desarrollo de Software</t>
  </si>
  <si>
    <t>Sprint 0: 02 mar–07 abr 2026  |  Sprint 1: 08 abr–30 abr 2026  |  Sprint 2: 01 may–27 may 2026  |  Entrega: 31 may 2026</t>
  </si>
  <si>
    <t>TARIFAS POR ROL — Promedio Latinoamérica (COP/hora, 2026)</t>
  </si>
  <si>
    <t>Rol</t>
  </si>
  <si>
    <t>Integrante</t>
  </si>
  <si>
    <t>Tarifa COP/hora</t>
  </si>
  <si>
    <t>Horas en proyecto</t>
  </si>
  <si>
    <t>Costo total (COP)</t>
  </si>
  <si>
    <t>Scrum Master</t>
  </si>
  <si>
    <t>Luis Miguel Bahamón</t>
  </si>
  <si>
    <t>Product Owner</t>
  </si>
  <si>
    <t>Juan Francisco Lemus</t>
  </si>
  <si>
    <t>Frontend Developer</t>
  </si>
  <si>
    <t>Carlos Córdoba</t>
  </si>
  <si>
    <t>Backend Developer</t>
  </si>
  <si>
    <t>Freddy Vega</t>
  </si>
  <si>
    <t>Full Stack / DevOps</t>
  </si>
  <si>
    <t>Mario Rey</t>
  </si>
  <si>
    <t>QA Tester</t>
  </si>
  <si>
    <t>Yeison Rey</t>
  </si>
  <si>
    <t>TOTAL PROYECTO</t>
  </si>
  <si>
    <t>Nota: incluye horas efectivas de desarrollo por HU + ceremonias Scrum (Planning, Daily, Review, Retro). Tarifa SM más alta por rol de coordinación y facilitación ágil. Fuente: Computrabajo, LinkedIn Jobs Colombia, feb 2026.</t>
  </si>
  <si>
    <t>RESUMEN DE COSTO POR SPRINT</t>
  </si>
  <si>
    <t>Sprint</t>
  </si>
  <si>
    <t>Fechas</t>
  </si>
  <si>
    <t>Días</t>
  </si>
  <si>
    <t>Story Points</t>
  </si>
  <si>
    <t>Costo Total (COP)</t>
  </si>
  <si>
    <t>Sprint 0</t>
  </si>
  <si>
    <t>02 mar – 07 abr 2026</t>
  </si>
  <si>
    <t>Sprint 1</t>
  </si>
  <si>
    <t>08 abr – 30 abr 2026</t>
  </si>
  <si>
    <t>45 SP</t>
  </si>
  <si>
    <t>Sprint 2</t>
  </si>
  <si>
    <t>01 may – 27 may 2026</t>
  </si>
  <si>
    <t>79 SP</t>
  </si>
  <si>
    <t>Buffer</t>
  </si>
  <si>
    <t>28 – 31 may 2026</t>
  </si>
  <si>
    <t>—</t>
  </si>
  <si>
    <t>TOTAL PROYECTO (sin buffer)</t>
  </si>
  <si>
    <t>INDICADORES CLAVE</t>
  </si>
  <si>
    <t>1 Story Point equivale a</t>
  </si>
  <si>
    <t>4 horas efectivas de trabajo</t>
  </si>
  <si>
    <t>Velocidad asumida</t>
  </si>
  <si>
    <t>62 SP / Sprint  (Sprint 1 y 2)</t>
  </si>
  <si>
    <t>Costo promedio ponderado/hora</t>
  </si>
  <si>
    <t>COP $22,080 (prom. ponderado por horas)</t>
  </si>
  <si>
    <t>Duración total estimada</t>
  </si>
  <si>
    <t>3 sprints (~12 semanas / ~84 días)</t>
  </si>
  <si>
    <t>Equipo del proyecto</t>
  </si>
  <si>
    <t>SM · PO · Frontend Dev · Backend Dev · Full Stack/DevOps · QA Tester</t>
  </si>
  <si>
    <t>Herramienta de gestión</t>
  </si>
  <si>
    <t>Jira (sprints, backlog, HUs, velocity chart)</t>
  </si>
  <si>
    <t>EduLoop — Planificación Detallada por Historia de Usuario</t>
  </si>
  <si>
    <t>Cada fila muestra la distribución de horas por rol para cada HU. 1 Story Point = 4 horas de trabajo efectivo.</t>
  </si>
  <si>
    <t>ID</t>
  </si>
  <si>
    <t>Historia de Usuario</t>
  </si>
  <si>
    <t>SP</t>
  </si>
  <si>
    <t>Horas</t>
  </si>
  <si>
    <t>SM(h)</t>
  </si>
  <si>
    <t>PO(h)</t>
  </si>
  <si>
    <t>FE(h)</t>
  </si>
  <si>
    <t>BE(h)</t>
  </si>
  <si>
    <t>FS(h)</t>
  </si>
  <si>
    <t>QA(h)</t>
  </si>
  <si>
    <t>Costo (COP)</t>
  </si>
  <si>
    <t>▶  SPRINT 0 — PLANIFICACIÓN  (2 mar – 7 abr 2026)</t>
  </si>
  <si>
    <t>Definición de Matriz RACI</t>
  </si>
  <si>
    <t>S0</t>
  </si>
  <si>
    <t>Product Backlog MoSCoW priorizado</t>
  </si>
  <si>
    <t>Estimación tiempo, costo y esfuerzo</t>
  </si>
  <si>
    <t>Carga de HUs en Jira (S0 completo)</t>
  </si>
  <si>
    <t>CER</t>
  </si>
  <si>
    <t>Ceremonies · Sprint 0 (Planning, Review, Retro)</t>
  </si>
  <si>
    <t>▶  SPRINT 1 — NÚCLEO FUNCIONAL  (8 abr – 30 abr 2026)</t>
  </si>
  <si>
    <t>HU-01</t>
  </si>
  <si>
    <t>Registro y autenticación de usuarios</t>
  </si>
  <si>
    <t>S1</t>
  </si>
  <si>
    <t>HU-02</t>
  </si>
  <si>
    <t>Login, cierre de sesión y JWT</t>
  </si>
  <si>
    <t>HU-03</t>
  </si>
  <si>
    <t>Módulos de contenido teórico del CVDS</t>
  </si>
  <si>
    <t>HU-04</t>
  </si>
  <si>
    <t>Dos niveles de dificultad con progresión</t>
  </si>
  <si>
    <t>HU-05</t>
  </si>
  <si>
    <t>Cuestionarios con retroalimentación inmediata</t>
  </si>
  <si>
    <t>HU-08</t>
  </si>
  <si>
    <t>API REST documentada (Web Services)</t>
  </si>
  <si>
    <t>HU-11</t>
  </si>
  <si>
    <t>Gamificación: puntos, vidas y rachas</t>
  </si>
  <si>
    <t>Ceremonias ágiles Sprint 1 (Planning, Dailies, Review, Retro)</t>
  </si>
  <si>
    <t>▶  SPRINT 2 — FUNCIONALIDAD COMPLETA  (1 may – 27 may 2026)</t>
  </si>
  <si>
    <t>HU-06</t>
  </si>
  <si>
    <t>Examen final por nivel con banco de preguntas</t>
  </si>
  <si>
    <t>S2</t>
  </si>
  <si>
    <t>HU-07</t>
  </si>
  <si>
    <t>Dashboard de progreso y reportes exportables</t>
  </si>
  <si>
    <t>HU-09</t>
  </si>
  <si>
    <t>Actividades interactivas (drag-drop, matching, fill-blank)</t>
  </si>
  <si>
    <t>HU-10</t>
  </si>
  <si>
    <t>Componente 3D / simulación / animación</t>
  </si>
  <si>
    <t>HU-12</t>
  </si>
  <si>
    <t>Perfil de usuario (edición de datos y eliminación de cuenta)</t>
  </si>
  <si>
    <t>HU-13</t>
  </si>
  <si>
    <t>Búsqueda y filtros de módulos por nombre y nivel</t>
  </si>
  <si>
    <t>HU-14</t>
  </si>
  <si>
    <t>Certificado digital de finalización de nivel (descarga PDF)</t>
  </si>
  <si>
    <t>HU-15</t>
  </si>
  <si>
    <t>Leaderboard global — Could Have</t>
  </si>
  <si>
    <t>HU-16</t>
  </si>
  <si>
    <t>Repaso espaciado de errores — Could Have</t>
  </si>
  <si>
    <t>HU-17</t>
  </si>
  <si>
    <t>Notificaciones in-app de progreso y rachas — Could Have</t>
  </si>
  <si>
    <t>DOC1</t>
  </si>
  <si>
    <t>Plan de pruebas y evidencia de ejecución</t>
  </si>
  <si>
    <t>DOC2</t>
  </si>
  <si>
    <t>Manual técnico</t>
  </si>
  <si>
    <t>DOC3</t>
  </si>
  <si>
    <t>Manual de usuario</t>
  </si>
  <si>
    <t>Ceremonias ágiles Sprint 2 (Planning, Dailies, Review, Retro)</t>
  </si>
  <si>
    <t>TOTAL SPRINT 1 + SPRINT 2 (solo HUs, sin ceremonias)</t>
  </si>
  <si>
    <t>🟡  HU-15, HU-16 y HU-17 son COULD HAVE: se incluyen en la estimación pero se ejecutan sólo si la velocidad del equipo en Sprint 2 lo permite.  Las filas de ceremonias, plan de pruebas y manuales (fondo naranja) no están asociadas a HUs.</t>
  </si>
  <si>
    <t>EduLoop — Cronograma por Sprint</t>
  </si>
  <si>
    <t>Sprint 0: 02 mar–07 abr  |  Sprint 1: 08 abr–30 abr  |  Sprint 2: 01 may–27 may 2026  |  Entrega: 31 may 2026</t>
  </si>
  <si>
    <t>Sprint 0
(02 mar–07 abr)</t>
  </si>
  <si>
    <t>Sprint 1 P1
(08–17 abr)</t>
  </si>
  <si>
    <t>Sprint 1 P2
(22–30 abr)</t>
  </si>
  <si>
    <t>Sprint 2 P1
(01–16 may)</t>
  </si>
  <si>
    <t>Sprint 2 P2
(19–27 may)</t>
  </si>
  <si>
    <t>Estado</t>
  </si>
  <si>
    <t>▶  SPRINT 0 — PLANIFICACIÓN</t>
  </si>
  <si>
    <t>HU-00A</t>
  </si>
  <si>
    <t>●</t>
  </si>
  <si>
    <t>Pendiente</t>
  </si>
  <si>
    <t>HU-00B</t>
  </si>
  <si>
    <t>HU-00C</t>
  </si>
  <si>
    <t>HU-00D</t>
  </si>
  <si>
    <t>Carga de HUs en Jira</t>
  </si>
  <si>
    <t>▶  SPRINT 1 — NÚCLEO FUNCIONAL</t>
  </si>
  <si>
    <t>Registro y autenticación</t>
  </si>
  <si>
    <t>Login y sesión JWT</t>
  </si>
  <si>
    <t>Módulos de contenido teórico</t>
  </si>
  <si>
    <t>Dos niveles de dificultad</t>
  </si>
  <si>
    <t>Cuestionarios + feedback</t>
  </si>
  <si>
    <t>API REST documentada</t>
  </si>
  <si>
    <t>Gamificación (puntos/vidas)</t>
  </si>
  <si>
    <t>▶  SPRINT 2 — FUNCIONALIDAD COMPLETA</t>
  </si>
  <si>
    <t>Examen final por nivel</t>
  </si>
  <si>
    <t>Dashboard + reportes PDF</t>
  </si>
  <si>
    <t>Actividades interactivas</t>
  </si>
  <si>
    <t>Componente 3D / simulación</t>
  </si>
  <si>
    <t>Perfil de usuario (edición de datos y cuenta)</t>
  </si>
  <si>
    <t>Búsqueda y filtros de módulos</t>
  </si>
  <si>
    <t>Certificado digital de finalización</t>
  </si>
  <si>
    <t>Leaderboard — Could Have</t>
  </si>
  <si>
    <t>Repaso espaciado — Could Have</t>
  </si>
  <si>
    <t>Notificaciones in-app — Could Have</t>
  </si>
  <si>
    <t>DOC</t>
  </si>
  <si>
    <t>Plan de pruebas, manuales técnico y usuario</t>
  </si>
  <si>
    <t>Leyenda:  ● = semana activa para la HU   |   Could Have: se ejecutan sólo si la velocidad del Sprint 2 lo permite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</si>
</sst>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3.0"/>
      <color rgb="FFFFFFFF"/>
      <name val="Calibri"/>
    </font>
    <font/>
    <font>
      <i/>
      <sz val="9.0"/>
      <color rgb="FFC8D4F5"/>
      <name val="Calibri"/>
    </font>
    <font>
      <b/>
      <sz val="10.0"/>
      <color rgb="FFFFFFFF"/>
      <name val="Calibri"/>
    </font>
    <font>
      <sz val="9.0"/>
      <color rgb="FF222222"/>
      <name val="Calibri"/>
    </font>
    <font>
      <b/>
      <sz val="9.0"/>
      <color rgb="FF2952C4"/>
      <name val="Calibri"/>
    </font>
    <font>
      <b/>
      <color rgb="FFFFFFFF"/>
      <name val="Calibri"/>
    </font>
    <font>
      <b/>
      <sz val="11.0"/>
      <color rgb="FFFFFFFF"/>
      <name val="Calibri"/>
    </font>
    <font>
      <i/>
      <sz val="8.0"/>
      <color rgb="FF555555"/>
      <name val="Calibri"/>
    </font>
    <font>
      <b/>
      <sz val="9.0"/>
      <color rgb="FF222222"/>
      <name val="Calibri"/>
    </font>
    <font>
      <b/>
      <sz val="9.0"/>
      <color rgb="FF1B237E"/>
      <name val="Calibri"/>
    </font>
    <font>
      <b/>
      <sz val="9.0"/>
      <color rgb="FF0D3B6E"/>
      <name val="Calibri"/>
    </font>
    <font>
      <b/>
      <sz val="9.0"/>
      <color rgb="FF1B5E20"/>
      <name val="Calibri"/>
    </font>
    <font>
      <i/>
      <sz val="8.0"/>
      <color rgb="FF5D4037"/>
      <name val="Calibri"/>
    </font>
    <font>
      <sz val="9.0"/>
      <color rgb="FF2952C4"/>
      <name val="Calibri"/>
    </font>
    <font>
      <sz val="9.0"/>
      <color rgb="FF555555"/>
      <name val="Calibri"/>
    </font>
    <font>
      <i/>
      <sz val="8.0"/>
      <color rgb="FF333333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0D1B4B"/>
        <bgColor rgb="FF0D1B4B"/>
      </patternFill>
    </fill>
    <fill>
      <patternFill patternType="solid">
        <fgColor rgb="FF1A3A8F"/>
        <bgColor rgb="FF1A3A8F"/>
      </patternFill>
    </fill>
    <fill>
      <patternFill patternType="solid">
        <fgColor rgb="FF2952C4"/>
        <bgColor rgb="FF2952C4"/>
      </patternFill>
    </fill>
    <fill>
      <patternFill patternType="solid">
        <fgColor rgb="FFF7F8FC"/>
        <bgColor rgb="FFF7F8FC"/>
      </patternFill>
    </fill>
    <fill>
      <patternFill patternType="solid">
        <fgColor rgb="FFFFFFFF"/>
        <bgColor rgb="FFFFFFFF"/>
      </patternFill>
    </fill>
    <fill>
      <patternFill patternType="solid">
        <fgColor rgb="FFD6E0FA"/>
        <bgColor rgb="FFD6E0FA"/>
      </patternFill>
    </fill>
    <fill>
      <patternFill patternType="solid">
        <fgColor rgb="FFC5CAE9"/>
        <bgColor rgb="FFC5CAE9"/>
      </patternFill>
    </fill>
    <fill>
      <patternFill patternType="solid">
        <fgColor rgb="FFBBDEFB"/>
        <bgColor rgb="FFBBDEFB"/>
      </patternFill>
    </fill>
    <fill>
      <patternFill patternType="solid">
        <fgColor rgb="FFC8E6C9"/>
        <bgColor rgb="FFC8E6C9"/>
      </patternFill>
    </fill>
    <fill>
      <patternFill patternType="solid">
        <fgColor rgb="FFFFF9C4"/>
        <bgColor rgb="FFFFF9C4"/>
      </patternFill>
    </fill>
    <fill>
      <patternFill patternType="solid">
        <fgColor rgb="FFFFF3E0"/>
        <bgColor rgb="FFFFF3E0"/>
      </patternFill>
    </fill>
  </fills>
  <borders count="19">
    <border/>
    <border>
      <left/>
      <top/>
      <bottom/>
    </border>
    <border>
      <top/>
      <bottom/>
    </border>
    <border>
      <right/>
      <top/>
      <bottom/>
    </border>
    <border>
      <left style="thin">
        <color rgb="FF1A3A8F"/>
      </left>
      <right style="thin">
        <color rgb="FF1A3A8F"/>
      </right>
      <top style="thin">
        <color rgb="FF1A3A8F"/>
      </top>
      <bottom style="thin">
        <color rgb="FF1A3A8F"/>
      </bottom>
    </border>
    <border>
      <left style="thin">
        <color rgb="FFB0B8D0"/>
      </left>
      <right style="thin">
        <color rgb="FFB0B8D0"/>
      </right>
      <top style="thin">
        <color rgb="FFB0B8D0"/>
      </top>
      <bottom style="thin">
        <color rgb="FFB0B8D0"/>
      </bottom>
    </border>
    <border>
      <left style="thin">
        <color rgb="FFB0B8D0"/>
      </left>
      <top style="thin">
        <color rgb="FFB0B8D0"/>
      </top>
      <bottom style="thin">
        <color rgb="FFB0B8D0"/>
      </bottom>
    </border>
    <border>
      <top style="thin">
        <color rgb="FFB0B8D0"/>
      </top>
      <bottom style="thin">
        <color rgb="FFB0B8D0"/>
      </bottom>
    </border>
    <border>
      <right style="thin">
        <color rgb="FFB0B8D0"/>
      </right>
      <top style="thin">
        <color rgb="FFB0B8D0"/>
      </top>
      <bottom style="thin">
        <color rgb="FFB0B8D0"/>
      </bottom>
    </border>
    <border>
      <right/>
      <top style="thin">
        <color rgb="FFB0B8D0"/>
      </top>
      <bottom style="thin">
        <color rgb="FFB0B8D0"/>
      </bottom>
    </border>
    <border>
      <left style="thin">
        <color rgb="FF1B237E"/>
      </left>
      <top style="thin">
        <color rgb="FF1B237E"/>
      </top>
      <bottom style="thin">
        <color rgb="FF1B237E"/>
      </bottom>
    </border>
    <border>
      <top style="thin">
        <color rgb="FF1B237E"/>
      </top>
      <bottom style="thin">
        <color rgb="FF1B237E"/>
      </bottom>
    </border>
    <border>
      <right/>
      <top style="thin">
        <color rgb="FF1B237E"/>
      </top>
      <bottom style="thin">
        <color rgb="FF1B237E"/>
      </bottom>
    </border>
    <border>
      <left style="thin">
        <color rgb="FF0D3B6E"/>
      </left>
      <top style="thin">
        <color rgb="FF0D3B6E"/>
      </top>
      <bottom style="thin">
        <color rgb="FF0D3B6E"/>
      </bottom>
    </border>
    <border>
      <top style="thin">
        <color rgb="FF0D3B6E"/>
      </top>
      <bottom style="thin">
        <color rgb="FF0D3B6E"/>
      </bottom>
    </border>
    <border>
      <right/>
      <top style="thin">
        <color rgb="FF0D3B6E"/>
      </top>
      <bottom style="thin">
        <color rgb="FF0D3B6E"/>
      </bottom>
    </border>
    <border>
      <left style="thin">
        <color rgb="FF1B5E20"/>
      </left>
      <top style="thin">
        <color rgb="FF1B5E20"/>
      </top>
      <bottom style="thin">
        <color rgb="FF1B5E20"/>
      </bottom>
    </border>
    <border>
      <top style="thin">
        <color rgb="FF1B5E20"/>
      </top>
      <bottom style="thin">
        <color rgb="FF1B5E20"/>
      </bottom>
    </border>
    <border>
      <right/>
      <top style="thin">
        <color rgb="FF1B5E20"/>
      </top>
      <bottom style="thin">
        <color rgb="FF1B5E2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1" fillId="4" fontId="4" numFmtId="0" xfId="0" applyAlignment="1" applyBorder="1" applyFill="1" applyFont="1">
      <alignment horizontal="center" shrinkToFit="0" vertical="center" wrapText="0"/>
    </xf>
    <xf borderId="4" fillId="4" fontId="4" numFmtId="0" xfId="0" applyAlignment="1" applyBorder="1" applyFont="1">
      <alignment horizontal="center" shrinkToFit="0" vertical="center" wrapText="1"/>
    </xf>
    <xf borderId="5" fillId="5" fontId="5" numFmtId="0" xfId="0" applyAlignment="1" applyBorder="1" applyFill="1" applyFont="1">
      <alignment horizontal="left" shrinkToFit="0" vertical="center" wrapText="1"/>
    </xf>
    <xf borderId="5" fillId="5" fontId="5" numFmtId="3" xfId="0" applyAlignment="1" applyBorder="1" applyFont="1" applyNumberFormat="1">
      <alignment horizontal="center" shrinkToFit="0" vertical="center" wrapText="1"/>
    </xf>
    <xf borderId="5" fillId="5" fontId="5" numFmtId="0" xfId="0" applyAlignment="1" applyBorder="1" applyFont="1">
      <alignment horizontal="center" readingOrder="0" shrinkToFit="0" vertical="center" wrapText="1"/>
    </xf>
    <xf borderId="5" fillId="5" fontId="6" numFmtId="3" xfId="0" applyAlignment="1" applyBorder="1" applyFont="1" applyNumberFormat="1">
      <alignment horizontal="center" shrinkToFit="0" vertical="center" wrapText="1"/>
    </xf>
    <xf borderId="5" fillId="6" fontId="5" numFmtId="0" xfId="0" applyAlignment="1" applyBorder="1" applyFill="1" applyFont="1">
      <alignment horizontal="left" shrinkToFit="0" vertical="center" wrapText="1"/>
    </xf>
    <xf borderId="5" fillId="6" fontId="5" numFmtId="3" xfId="0" applyAlignment="1" applyBorder="1" applyFont="1" applyNumberFormat="1">
      <alignment horizontal="center" shrinkToFit="0" vertical="center" wrapText="1"/>
    </xf>
    <xf borderId="5" fillId="6" fontId="5" numFmtId="0" xfId="0" applyAlignment="1" applyBorder="1" applyFont="1">
      <alignment horizontal="center" readingOrder="0" shrinkToFit="0" vertical="center" wrapText="1"/>
    </xf>
    <xf borderId="5" fillId="6" fontId="6" numFmtId="3" xfId="0" applyAlignment="1" applyBorder="1" applyFont="1" applyNumberFormat="1">
      <alignment horizontal="center" shrinkToFit="0" vertical="center" wrapText="1"/>
    </xf>
    <xf borderId="6" fillId="2" fontId="7" numFmtId="0" xfId="0" applyAlignment="1" applyBorder="1" applyFont="1">
      <alignment horizontal="center" readingOrder="0" vertical="center"/>
    </xf>
    <xf borderId="7" fillId="0" fontId="2" numFmtId="0" xfId="0" applyBorder="1" applyFont="1"/>
    <xf borderId="8" fillId="0" fontId="2" numFmtId="0" xfId="0" applyBorder="1" applyFont="1"/>
    <xf borderId="7" fillId="2" fontId="7" numFmtId="0" xfId="0" applyAlignment="1" applyBorder="1" applyFont="1">
      <alignment horizontal="center" readingOrder="0" vertical="center"/>
    </xf>
    <xf borderId="5" fillId="2" fontId="8" numFmtId="3" xfId="0" applyAlignment="1" applyBorder="1" applyFont="1" applyNumberFormat="1">
      <alignment horizontal="center" readingOrder="0" vertical="center"/>
    </xf>
    <xf borderId="6" fillId="7" fontId="9" numFmtId="0" xfId="0" applyAlignment="1" applyBorder="1" applyFill="1" applyFont="1">
      <alignment horizontal="left" shrinkToFit="0" vertical="center" wrapText="1"/>
    </xf>
    <xf borderId="9" fillId="0" fontId="2" numFmtId="0" xfId="0" applyBorder="1" applyFont="1"/>
    <xf borderId="5" fillId="8" fontId="10" numFmtId="0" xfId="0" applyAlignment="1" applyBorder="1" applyFill="1" applyFont="1">
      <alignment horizontal="center" shrinkToFit="0" vertical="center" wrapText="1"/>
    </xf>
    <xf borderId="5" fillId="8" fontId="5" numFmtId="0" xfId="0" applyAlignment="1" applyBorder="1" applyFont="1">
      <alignment horizontal="center" shrinkToFit="0" vertical="center" wrapText="1"/>
    </xf>
    <xf borderId="5" fillId="8" fontId="5" numFmtId="0" xfId="0" applyAlignment="1" applyBorder="1" applyFont="1">
      <alignment horizontal="center" readingOrder="0" shrinkToFit="0" vertical="center" wrapText="1"/>
    </xf>
    <xf borderId="5" fillId="8" fontId="5" numFmtId="3" xfId="0" applyAlignment="1" applyBorder="1" applyFont="1" applyNumberFormat="1">
      <alignment horizontal="center" readingOrder="0" shrinkToFit="0" vertical="center" wrapText="1"/>
    </xf>
    <xf borderId="5" fillId="9" fontId="10" numFmtId="0" xfId="0" applyAlignment="1" applyBorder="1" applyFill="1" applyFont="1">
      <alignment horizontal="center" shrinkToFit="0" vertical="center" wrapText="1"/>
    </xf>
    <xf borderId="5" fillId="9" fontId="5" numFmtId="0" xfId="0" applyAlignment="1" applyBorder="1" applyFont="1">
      <alignment horizontal="center" shrinkToFit="0" vertical="center" wrapText="1"/>
    </xf>
    <xf borderId="5" fillId="9" fontId="5" numFmtId="3" xfId="0" applyAlignment="1" applyBorder="1" applyFont="1" applyNumberFormat="1">
      <alignment horizontal="center" readingOrder="0" shrinkToFit="0" vertical="center" wrapText="1"/>
    </xf>
    <xf borderId="5" fillId="10" fontId="10" numFmtId="0" xfId="0" applyAlignment="1" applyBorder="1" applyFill="1" applyFont="1">
      <alignment horizontal="center" shrinkToFit="0" vertical="center" wrapText="1"/>
    </xf>
    <xf borderId="5" fillId="10" fontId="5" numFmtId="0" xfId="0" applyAlignment="1" applyBorder="1" applyFont="1">
      <alignment horizontal="center" shrinkToFit="0" vertical="center" wrapText="1"/>
    </xf>
    <xf borderId="5" fillId="10" fontId="5" numFmtId="0" xfId="0" applyAlignment="1" applyBorder="1" applyFont="1">
      <alignment horizontal="center" readingOrder="0" shrinkToFit="0" vertical="center" wrapText="1"/>
    </xf>
    <xf borderId="5" fillId="10" fontId="5" numFmtId="3" xfId="0" applyAlignment="1" applyBorder="1" applyFont="1" applyNumberFormat="1">
      <alignment horizontal="center" readingOrder="0" shrinkToFit="0" vertical="center" wrapText="1"/>
    </xf>
    <xf borderId="5" fillId="11" fontId="10" numFmtId="0" xfId="0" applyAlignment="1" applyBorder="1" applyFill="1" applyFont="1">
      <alignment horizontal="center" shrinkToFit="0" vertical="center" wrapText="1"/>
    </xf>
    <xf borderId="5" fillId="11" fontId="5" numFmtId="0" xfId="0" applyAlignment="1" applyBorder="1" applyFont="1">
      <alignment horizontal="center" shrinkToFit="0" vertical="center" wrapText="1"/>
    </xf>
    <xf borderId="6" fillId="2" fontId="4" numFmtId="0" xfId="0" applyAlignment="1" applyBorder="1" applyFont="1">
      <alignment horizontal="right" shrinkToFit="0" vertical="center" wrapText="1"/>
    </xf>
    <xf borderId="5" fillId="2" fontId="8" numFmtId="3" xfId="0" applyAlignment="1" applyBorder="1" applyFont="1" applyNumberFormat="1">
      <alignment horizontal="center" shrinkToFit="0" vertical="center" wrapText="1"/>
    </xf>
    <xf borderId="1" fillId="4" fontId="4" numFmtId="0" xfId="0" applyAlignment="1" applyBorder="1" applyFont="1">
      <alignment horizontal="center" readingOrder="0" shrinkToFit="0" vertical="center" wrapText="0"/>
    </xf>
    <xf borderId="6" fillId="6" fontId="10" numFmtId="0" xfId="0" applyAlignment="1" applyBorder="1" applyFont="1">
      <alignment horizontal="left" shrinkToFit="0" vertical="center" wrapText="1"/>
    </xf>
    <xf borderId="6" fillId="6" fontId="5" numFmtId="0" xfId="0" applyAlignment="1" applyBorder="1" applyFont="1">
      <alignment horizontal="left" shrinkToFit="0" vertical="center" wrapText="1"/>
    </xf>
    <xf borderId="6" fillId="5" fontId="10" numFmtId="0" xfId="0" applyAlignment="1" applyBorder="1" applyFont="1">
      <alignment horizontal="left" shrinkToFit="0" vertical="center" wrapText="1"/>
    </xf>
    <xf borderId="6" fillId="5" fontId="5" numFmtId="0" xfId="0" applyAlignment="1" applyBorder="1" applyFont="1">
      <alignment horizontal="left" readingOrder="0" shrinkToFit="0" vertical="center" wrapText="1"/>
    </xf>
    <xf borderId="6" fillId="5" fontId="5" numFmtId="0" xfId="0" applyAlignment="1" applyBorder="1" applyFont="1">
      <alignment horizontal="left" shrinkToFit="0" vertical="center" wrapText="1"/>
    </xf>
    <xf borderId="10" fillId="8" fontId="11" numFmtId="0" xfId="0" applyAlignment="1" applyBorder="1" applyFont="1">
      <alignment horizontal="left" shrinkToFit="0" vertical="center" wrapText="0"/>
    </xf>
    <xf borderId="11" fillId="0" fontId="2" numFmtId="0" xfId="0" applyBorder="1" applyFont="1"/>
    <xf borderId="12" fillId="0" fontId="2" numFmtId="0" xfId="0" applyBorder="1" applyFont="1"/>
    <xf borderId="5" fillId="6" fontId="10" numFmtId="0" xfId="0" applyAlignment="1" applyBorder="1" applyFont="1">
      <alignment horizontal="center" readingOrder="0" shrinkToFit="0" vertical="center" wrapText="1"/>
    </xf>
    <xf borderId="5" fillId="6" fontId="5" numFmtId="0" xfId="0" applyAlignment="1" applyBorder="1" applyFont="1">
      <alignment horizontal="center" shrinkToFit="0" vertical="center" wrapText="1"/>
    </xf>
    <xf borderId="5" fillId="6" fontId="6" numFmtId="3" xfId="0" applyAlignment="1" applyBorder="1" applyFont="1" applyNumberFormat="1">
      <alignment horizontal="center" shrinkToFit="0" vertical="center" wrapText="0"/>
    </xf>
    <xf borderId="5" fillId="5" fontId="10" numFmtId="0" xfId="0" applyAlignment="1" applyBorder="1" applyFont="1">
      <alignment horizontal="center" readingOrder="0" shrinkToFit="0" vertical="center" wrapText="1"/>
    </xf>
    <xf borderId="5" fillId="5" fontId="5" numFmtId="0" xfId="0" applyAlignment="1" applyBorder="1" applyFont="1">
      <alignment horizontal="center" shrinkToFit="0" vertical="center" wrapText="1"/>
    </xf>
    <xf borderId="5" fillId="5" fontId="6" numFmtId="3" xfId="0" applyAlignment="1" applyBorder="1" applyFont="1" applyNumberFormat="1">
      <alignment horizontal="center" shrinkToFit="0" vertical="center" wrapText="0"/>
    </xf>
    <xf borderId="5" fillId="12" fontId="10" numFmtId="0" xfId="0" applyAlignment="1" applyBorder="1" applyFill="1" applyFont="1">
      <alignment horizontal="center" shrinkToFit="0" vertical="center" wrapText="1"/>
    </xf>
    <xf borderId="5" fillId="12" fontId="5" numFmtId="0" xfId="0" applyAlignment="1" applyBorder="1" applyFont="1">
      <alignment horizontal="left" shrinkToFit="0" vertical="center" wrapText="1"/>
    </xf>
    <xf borderId="5" fillId="12" fontId="5" numFmtId="0" xfId="0" applyAlignment="1" applyBorder="1" applyFont="1">
      <alignment horizontal="center" shrinkToFit="0" vertical="center" wrapText="1"/>
    </xf>
    <xf borderId="5" fillId="12" fontId="6" numFmtId="3" xfId="0" applyAlignment="1" applyBorder="1" applyFont="1" applyNumberFormat="1">
      <alignment horizontal="center" shrinkToFit="0" vertical="center" wrapText="0"/>
    </xf>
    <xf borderId="13" fillId="9" fontId="12" numFmtId="0" xfId="0" applyAlignment="1" applyBorder="1" applyFont="1">
      <alignment horizontal="left" shrinkToFit="0" vertical="center" wrapText="0"/>
    </xf>
    <xf borderId="14" fillId="0" fontId="2" numFmtId="0" xfId="0" applyBorder="1" applyFont="1"/>
    <xf borderId="15" fillId="0" fontId="2" numFmtId="0" xfId="0" applyBorder="1" applyFont="1"/>
    <xf borderId="5" fillId="6" fontId="10" numFmtId="0" xfId="0" applyAlignment="1" applyBorder="1" applyFon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16" fillId="10" fontId="13" numFmtId="0" xfId="0" applyAlignment="1" applyBorder="1" applyFont="1">
      <alignment horizontal="left" shrinkToFit="0" vertical="center" wrapText="0"/>
    </xf>
    <xf borderId="17" fillId="0" fontId="2" numFmtId="0" xfId="0" applyBorder="1" applyFont="1"/>
    <xf borderId="18" fillId="0" fontId="2" numFmtId="0" xfId="0" applyBorder="1" applyFont="1"/>
    <xf borderId="5" fillId="5" fontId="5" numFmtId="0" xfId="0" applyAlignment="1" applyBorder="1" applyFont="1">
      <alignment horizontal="center" readingOrder="0" vertical="center"/>
    </xf>
    <xf borderId="6" fillId="2" fontId="4" numFmtId="0" xfId="0" applyAlignment="1" applyBorder="1" applyFont="1">
      <alignment horizontal="right" shrinkToFit="0" vertical="center" wrapText="0"/>
    </xf>
    <xf borderId="5" fillId="2" fontId="4" numFmtId="0" xfId="0" applyAlignment="1" applyBorder="1" applyFont="1">
      <alignment horizontal="center" shrinkToFit="0" vertical="center" wrapText="0"/>
    </xf>
    <xf borderId="5" fillId="2" fontId="4" numFmtId="3" xfId="0" applyAlignment="1" applyBorder="1" applyFont="1" applyNumberFormat="1">
      <alignment horizontal="center" shrinkToFit="0" vertical="center" wrapText="0"/>
    </xf>
    <xf borderId="6" fillId="12" fontId="14" numFmtId="0" xfId="0" applyAlignment="1" applyBorder="1" applyFont="1">
      <alignment horizontal="left" shrinkToFit="0" vertical="center" wrapText="1"/>
    </xf>
    <xf borderId="5" fillId="6" fontId="15" numFmtId="0" xfId="0" applyAlignment="1" applyBorder="1" applyFont="1">
      <alignment horizontal="center" shrinkToFit="0" vertical="center" wrapText="1"/>
    </xf>
    <xf borderId="5" fillId="11" fontId="16" numFmtId="0" xfId="0" applyAlignment="1" applyBorder="1" applyFont="1">
      <alignment horizontal="center" shrinkToFit="0" vertical="center" wrapText="1"/>
    </xf>
    <xf borderId="5" fillId="5" fontId="15" numFmtId="0" xfId="0" applyAlignment="1" applyBorder="1" applyFont="1">
      <alignment horizontal="center" shrinkToFit="0" vertical="center" wrapText="1"/>
    </xf>
    <xf borderId="6" fillId="7" fontId="17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22.0"/>
    <col customWidth="1" min="3" max="4" width="16.0"/>
    <col customWidth="1" min="5" max="5" width="20.0"/>
    <col customWidth="1" min="6" max="26" width="8.71"/>
  </cols>
  <sheetData>
    <row r="1" ht="25.5" customHeight="1">
      <c r="A1" s="1" t="s">
        <v>0</v>
      </c>
      <c r="B1" s="2"/>
      <c r="C1" s="2"/>
      <c r="D1" s="2"/>
      <c r="E1" s="3"/>
    </row>
    <row r="2" ht="12.75" customHeight="1">
      <c r="A2" s="4" t="s">
        <v>1</v>
      </c>
      <c r="B2" s="2"/>
      <c r="C2" s="2"/>
      <c r="D2" s="2"/>
      <c r="E2" s="3"/>
    </row>
    <row r="3" ht="14.25" customHeight="1"/>
    <row r="4" ht="18.0" customHeight="1">
      <c r="A4" s="5" t="s">
        <v>2</v>
      </c>
      <c r="B4" s="2"/>
      <c r="C4" s="2"/>
      <c r="D4" s="2"/>
      <c r="E4" s="3"/>
    </row>
    <row r="5" ht="15.75" customHeight="1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</row>
    <row r="6" ht="15.75" customHeight="1">
      <c r="A6" s="7" t="s">
        <v>8</v>
      </c>
      <c r="B6" s="7" t="s">
        <v>9</v>
      </c>
      <c r="C6" s="8">
        <v>28000.0</v>
      </c>
      <c r="D6" s="9">
        <v>58.0</v>
      </c>
      <c r="E6" s="10">
        <f t="shared" ref="E6:E11" si="1">C6*D6</f>
        <v>1624000</v>
      </c>
    </row>
    <row r="7" ht="15.75" customHeight="1">
      <c r="A7" s="11" t="s">
        <v>10</v>
      </c>
      <c r="B7" s="11" t="s">
        <v>11</v>
      </c>
      <c r="C7" s="12">
        <v>23500.0</v>
      </c>
      <c r="D7" s="13">
        <v>86.0</v>
      </c>
      <c r="E7" s="14">
        <f t="shared" si="1"/>
        <v>2021000</v>
      </c>
    </row>
    <row r="8" ht="15.75" customHeight="1">
      <c r="A8" s="7" t="s">
        <v>12</v>
      </c>
      <c r="B8" s="7" t="s">
        <v>13</v>
      </c>
      <c r="C8" s="8">
        <v>19000.0</v>
      </c>
      <c r="D8" s="9">
        <v>192.0</v>
      </c>
      <c r="E8" s="10">
        <f t="shared" si="1"/>
        <v>3648000</v>
      </c>
    </row>
    <row r="9" ht="15.75" customHeight="1">
      <c r="A9" s="11" t="s">
        <v>14</v>
      </c>
      <c r="B9" s="11" t="s">
        <v>15</v>
      </c>
      <c r="C9" s="12">
        <v>22000.0</v>
      </c>
      <c r="D9" s="13">
        <v>166.0</v>
      </c>
      <c r="E9" s="14">
        <f t="shared" si="1"/>
        <v>3652000</v>
      </c>
    </row>
    <row r="10" ht="15.75" customHeight="1">
      <c r="A10" s="7" t="s">
        <v>16</v>
      </c>
      <c r="B10" s="7" t="s">
        <v>17</v>
      </c>
      <c r="C10" s="8">
        <v>25000.0</v>
      </c>
      <c r="D10" s="9">
        <v>87.0</v>
      </c>
      <c r="E10" s="10">
        <f t="shared" si="1"/>
        <v>2175000</v>
      </c>
    </row>
    <row r="11" ht="15.75" customHeight="1">
      <c r="A11" s="11" t="s">
        <v>18</v>
      </c>
      <c r="B11" s="11" t="s">
        <v>19</v>
      </c>
      <c r="C11" s="12">
        <v>16000.0</v>
      </c>
      <c r="D11" s="13">
        <v>85.0</v>
      </c>
      <c r="E11" s="14">
        <f t="shared" si="1"/>
        <v>1360000</v>
      </c>
    </row>
    <row r="12" ht="19.5" customHeight="1">
      <c r="A12" s="15" t="s">
        <v>20</v>
      </c>
      <c r="B12" s="16"/>
      <c r="C12" s="17"/>
      <c r="D12" s="18">
        <f t="shared" ref="D12:E12" si="2">SUM(D6:D11)</f>
        <v>674</v>
      </c>
      <c r="E12" s="19">
        <f t="shared" si="2"/>
        <v>14480000</v>
      </c>
    </row>
    <row r="13" ht="14.25" customHeight="1"/>
    <row r="14" ht="25.5" customHeight="1">
      <c r="A14" s="20" t="s">
        <v>21</v>
      </c>
      <c r="B14" s="16"/>
      <c r="C14" s="16"/>
      <c r="D14" s="16"/>
      <c r="E14" s="21"/>
    </row>
    <row r="15" ht="14.25" customHeight="1"/>
    <row r="16" ht="18.0" customHeight="1">
      <c r="A16" s="5" t="s">
        <v>22</v>
      </c>
      <c r="B16" s="2"/>
      <c r="C16" s="2"/>
      <c r="D16" s="2"/>
      <c r="E16" s="3"/>
    </row>
    <row r="17" ht="15.75" customHeight="1">
      <c r="A17" s="6" t="s">
        <v>23</v>
      </c>
      <c r="B17" s="6" t="s">
        <v>24</v>
      </c>
      <c r="C17" s="6" t="s">
        <v>25</v>
      </c>
      <c r="D17" s="6" t="s">
        <v>26</v>
      </c>
      <c r="E17" s="6" t="s">
        <v>27</v>
      </c>
    </row>
    <row r="18" ht="15.75" customHeight="1">
      <c r="A18" s="22" t="s">
        <v>28</v>
      </c>
      <c r="B18" s="23" t="s">
        <v>29</v>
      </c>
      <c r="C18" s="23">
        <v>36.0</v>
      </c>
      <c r="D18" s="24">
        <v>8.0</v>
      </c>
      <c r="E18" s="25">
        <v>1146000.0</v>
      </c>
    </row>
    <row r="19" ht="15.75" customHeight="1">
      <c r="A19" s="26" t="s">
        <v>30</v>
      </c>
      <c r="B19" s="27" t="s">
        <v>31</v>
      </c>
      <c r="C19" s="27">
        <v>23.0</v>
      </c>
      <c r="D19" s="27" t="s">
        <v>32</v>
      </c>
      <c r="E19" s="28">
        <v>4613500.0</v>
      </c>
    </row>
    <row r="20" ht="15.75" customHeight="1">
      <c r="A20" s="29" t="s">
        <v>33</v>
      </c>
      <c r="B20" s="30" t="s">
        <v>34</v>
      </c>
      <c r="C20" s="30">
        <v>27.0</v>
      </c>
      <c r="D20" s="31" t="s">
        <v>35</v>
      </c>
      <c r="E20" s="32">
        <v>8720500.0</v>
      </c>
    </row>
    <row r="21" ht="15.75" customHeight="1">
      <c r="A21" s="33" t="s">
        <v>36</v>
      </c>
      <c r="B21" s="34" t="s">
        <v>37</v>
      </c>
      <c r="C21" s="34">
        <v>4.0</v>
      </c>
      <c r="D21" s="34" t="s">
        <v>38</v>
      </c>
      <c r="E21" s="34" t="s">
        <v>38</v>
      </c>
    </row>
    <row r="22" ht="19.5" customHeight="1">
      <c r="A22" s="35" t="s">
        <v>39</v>
      </c>
      <c r="B22" s="16"/>
      <c r="C22" s="16"/>
      <c r="D22" s="21"/>
      <c r="E22" s="36">
        <f>SUM(E18:E21)</f>
        <v>14480000</v>
      </c>
    </row>
    <row r="23" ht="14.25" customHeight="1"/>
    <row r="24" ht="18.0" customHeight="1">
      <c r="A24" s="37" t="s">
        <v>40</v>
      </c>
      <c r="B24" s="2"/>
      <c r="C24" s="2"/>
      <c r="D24" s="2"/>
      <c r="E24" s="3"/>
    </row>
    <row r="25" ht="15.75" customHeight="1">
      <c r="A25" s="38" t="s">
        <v>41</v>
      </c>
      <c r="B25" s="21"/>
      <c r="C25" s="39" t="s">
        <v>42</v>
      </c>
      <c r="D25" s="16"/>
      <c r="E25" s="21"/>
    </row>
    <row r="26" ht="15.75" customHeight="1">
      <c r="A26" s="40" t="s">
        <v>43</v>
      </c>
      <c r="B26" s="21"/>
      <c r="C26" s="41" t="s">
        <v>44</v>
      </c>
      <c r="D26" s="16"/>
      <c r="E26" s="21"/>
    </row>
    <row r="27" ht="15.75" customHeight="1">
      <c r="A27" s="38" t="s">
        <v>45</v>
      </c>
      <c r="B27" s="21"/>
      <c r="C27" s="39" t="s">
        <v>46</v>
      </c>
      <c r="D27" s="16"/>
      <c r="E27" s="21"/>
    </row>
    <row r="28" ht="15.75" customHeight="1">
      <c r="A28" s="40" t="s">
        <v>47</v>
      </c>
      <c r="B28" s="21"/>
      <c r="C28" s="42" t="s">
        <v>48</v>
      </c>
      <c r="D28" s="16"/>
      <c r="E28" s="21"/>
    </row>
    <row r="29" ht="15.75" customHeight="1">
      <c r="A29" s="38" t="s">
        <v>49</v>
      </c>
      <c r="B29" s="21"/>
      <c r="C29" s="39" t="s">
        <v>50</v>
      </c>
      <c r="D29" s="16"/>
      <c r="E29" s="21"/>
    </row>
    <row r="30" ht="15.75" customHeight="1">
      <c r="A30" s="40" t="s">
        <v>51</v>
      </c>
      <c r="B30" s="21"/>
      <c r="C30" s="42" t="s">
        <v>52</v>
      </c>
      <c r="D30" s="16"/>
      <c r="E30" s="21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0">
    <mergeCell ref="A1:E1"/>
    <mergeCell ref="A2:E2"/>
    <mergeCell ref="A4:E4"/>
    <mergeCell ref="A12:C12"/>
    <mergeCell ref="A14:E14"/>
    <mergeCell ref="A16:E16"/>
    <mergeCell ref="A22:D22"/>
    <mergeCell ref="A28:B28"/>
    <mergeCell ref="C28:E28"/>
    <mergeCell ref="A29:B29"/>
    <mergeCell ref="C29:E29"/>
    <mergeCell ref="A30:B30"/>
    <mergeCell ref="C30:E30"/>
    <mergeCell ref="A24:E24"/>
    <mergeCell ref="A25:B25"/>
    <mergeCell ref="C25:E25"/>
    <mergeCell ref="A26:B26"/>
    <mergeCell ref="C26:E26"/>
    <mergeCell ref="A27:B27"/>
    <mergeCell ref="C27:E2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8.0"/>
    <col customWidth="1" min="2" max="2" width="36.0"/>
    <col customWidth="1" min="3" max="3" width="8.0"/>
    <col customWidth="1" min="4" max="4" width="6.0"/>
    <col customWidth="1" min="5" max="5" width="8.0"/>
    <col customWidth="1" min="6" max="11" width="7.0"/>
    <col customWidth="1" min="12" max="12" width="14.0"/>
    <col customWidth="1" min="13" max="26" width="8.71"/>
  </cols>
  <sheetData>
    <row r="1" ht="25.5" customHeight="1">
      <c r="A1" s="1" t="s">
        <v>53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2.75" customHeight="1">
      <c r="A2" s="4" t="s">
        <v>54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24.0" customHeight="1">
      <c r="A3" s="6" t="s">
        <v>55</v>
      </c>
      <c r="B3" s="6" t="s">
        <v>56</v>
      </c>
      <c r="C3" s="6" t="s">
        <v>23</v>
      </c>
      <c r="D3" s="6" t="s">
        <v>57</v>
      </c>
      <c r="E3" s="6" t="s">
        <v>58</v>
      </c>
      <c r="F3" s="6" t="s">
        <v>59</v>
      </c>
      <c r="G3" s="6" t="s">
        <v>60</v>
      </c>
      <c r="H3" s="6" t="s">
        <v>61</v>
      </c>
      <c r="I3" s="6" t="s">
        <v>62</v>
      </c>
      <c r="J3" s="6" t="s">
        <v>63</v>
      </c>
      <c r="K3" s="6" t="s">
        <v>64</v>
      </c>
      <c r="L3" s="6" t="s">
        <v>65</v>
      </c>
    </row>
    <row r="4" ht="16.5" customHeight="1">
      <c r="A4" s="43" t="s">
        <v>66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5"/>
    </row>
    <row r="5" ht="31.5" customHeight="1">
      <c r="A5" s="46">
        <v>1.0</v>
      </c>
      <c r="B5" s="11" t="s">
        <v>67</v>
      </c>
      <c r="C5" s="47" t="s">
        <v>68</v>
      </c>
      <c r="D5" s="47">
        <v>2.0</v>
      </c>
      <c r="E5" s="47">
        <v>8.0</v>
      </c>
      <c r="F5" s="47">
        <v>0.0</v>
      </c>
      <c r="G5" s="13">
        <v>4.0</v>
      </c>
      <c r="H5" s="47">
        <v>1.0</v>
      </c>
      <c r="I5" s="47">
        <v>1.0</v>
      </c>
      <c r="J5" s="47">
        <v>1.0</v>
      </c>
      <c r="K5" s="47">
        <v>1.0</v>
      </c>
      <c r="L5" s="48">
        <f t="shared" ref="L5:L9" si="1">F5*28000+G5*23500+H5*19000+I5*22000+J5*25000+K5*16000</f>
        <v>176000</v>
      </c>
    </row>
    <row r="6" ht="31.5" customHeight="1">
      <c r="A6" s="49">
        <v>2.0</v>
      </c>
      <c r="B6" s="7" t="s">
        <v>69</v>
      </c>
      <c r="C6" s="50" t="s">
        <v>68</v>
      </c>
      <c r="D6" s="50">
        <v>2.0</v>
      </c>
      <c r="E6" s="50">
        <v>8.0</v>
      </c>
      <c r="F6" s="50">
        <v>0.0</v>
      </c>
      <c r="G6" s="9">
        <v>4.0</v>
      </c>
      <c r="H6" s="9">
        <v>1.0</v>
      </c>
      <c r="I6" s="50">
        <v>1.0</v>
      </c>
      <c r="J6" s="50">
        <v>1.0</v>
      </c>
      <c r="K6" s="9">
        <v>1.0</v>
      </c>
      <c r="L6" s="51">
        <f t="shared" si="1"/>
        <v>176000</v>
      </c>
    </row>
    <row r="7" ht="31.5" customHeight="1">
      <c r="A7" s="46">
        <v>3.0</v>
      </c>
      <c r="B7" s="11" t="s">
        <v>70</v>
      </c>
      <c r="C7" s="47" t="s">
        <v>68</v>
      </c>
      <c r="D7" s="47">
        <v>2.0</v>
      </c>
      <c r="E7" s="47">
        <v>8.0</v>
      </c>
      <c r="F7" s="47">
        <v>0.0</v>
      </c>
      <c r="G7" s="13">
        <v>4.0</v>
      </c>
      <c r="H7" s="13">
        <v>1.0</v>
      </c>
      <c r="I7" s="47">
        <v>1.0</v>
      </c>
      <c r="J7" s="13">
        <v>1.0</v>
      </c>
      <c r="K7" s="13">
        <v>1.0</v>
      </c>
      <c r="L7" s="48">
        <f t="shared" si="1"/>
        <v>176000</v>
      </c>
    </row>
    <row r="8" ht="31.5" customHeight="1">
      <c r="A8" s="49">
        <v>4.0</v>
      </c>
      <c r="B8" s="7" t="s">
        <v>71</v>
      </c>
      <c r="C8" s="50" t="s">
        <v>68</v>
      </c>
      <c r="D8" s="50">
        <v>2.0</v>
      </c>
      <c r="E8" s="50">
        <v>8.0</v>
      </c>
      <c r="F8" s="50">
        <v>4.0</v>
      </c>
      <c r="G8" s="50">
        <v>2.0</v>
      </c>
      <c r="H8" s="50">
        <v>1.0</v>
      </c>
      <c r="I8" s="50">
        <v>0.0</v>
      </c>
      <c r="J8" s="50">
        <v>1.0</v>
      </c>
      <c r="K8" s="50">
        <v>0.0</v>
      </c>
      <c r="L8" s="51">
        <f t="shared" si="1"/>
        <v>203000</v>
      </c>
    </row>
    <row r="9" ht="31.5" customHeight="1">
      <c r="A9" s="52" t="s">
        <v>72</v>
      </c>
      <c r="B9" s="53" t="s">
        <v>73</v>
      </c>
      <c r="C9" s="54" t="s">
        <v>68</v>
      </c>
      <c r="D9" s="54" t="s">
        <v>38</v>
      </c>
      <c r="E9" s="54">
        <v>16.0</v>
      </c>
      <c r="F9" s="54">
        <v>8.0</v>
      </c>
      <c r="G9" s="54">
        <v>6.0</v>
      </c>
      <c r="H9" s="54">
        <v>0.0</v>
      </c>
      <c r="I9" s="54">
        <v>0.0</v>
      </c>
      <c r="J9" s="54">
        <v>2.0</v>
      </c>
      <c r="K9" s="54">
        <v>0.0</v>
      </c>
      <c r="L9" s="55">
        <f t="shared" si="1"/>
        <v>415000</v>
      </c>
    </row>
    <row r="10" ht="16.5" customHeight="1">
      <c r="A10" s="56" t="s">
        <v>74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8"/>
    </row>
    <row r="11" ht="31.5" customHeight="1">
      <c r="A11" s="59" t="s">
        <v>75</v>
      </c>
      <c r="B11" s="11" t="s">
        <v>76</v>
      </c>
      <c r="C11" s="47" t="s">
        <v>77</v>
      </c>
      <c r="D11" s="47">
        <v>5.0</v>
      </c>
      <c r="E11" s="47">
        <v>20.0</v>
      </c>
      <c r="F11" s="47">
        <v>0.0</v>
      </c>
      <c r="G11" s="47">
        <v>1.0</v>
      </c>
      <c r="H11" s="47">
        <v>6.0</v>
      </c>
      <c r="I11" s="47">
        <v>8.0</v>
      </c>
      <c r="J11" s="47">
        <v>2.0</v>
      </c>
      <c r="K11" s="47">
        <v>3.0</v>
      </c>
      <c r="L11" s="48">
        <f t="shared" ref="L11:L18" si="2">F11*28000+G11*23500+H11*19000+I11*22000+J11*25000+K11*16000</f>
        <v>411500</v>
      </c>
    </row>
    <row r="12" ht="31.5" customHeight="1">
      <c r="A12" s="60" t="s">
        <v>78</v>
      </c>
      <c r="B12" s="7" t="s">
        <v>79</v>
      </c>
      <c r="C12" s="50" t="s">
        <v>77</v>
      </c>
      <c r="D12" s="50">
        <v>3.0</v>
      </c>
      <c r="E12" s="50">
        <v>12.0</v>
      </c>
      <c r="F12" s="50">
        <v>0.0</v>
      </c>
      <c r="G12" s="50">
        <v>1.0</v>
      </c>
      <c r="H12" s="50">
        <v>3.0</v>
      </c>
      <c r="I12" s="50">
        <v>5.0</v>
      </c>
      <c r="J12" s="50">
        <v>2.0</v>
      </c>
      <c r="K12" s="50">
        <v>1.0</v>
      </c>
      <c r="L12" s="51">
        <f t="shared" si="2"/>
        <v>256500</v>
      </c>
    </row>
    <row r="13" ht="31.5" customHeight="1">
      <c r="A13" s="59" t="s">
        <v>80</v>
      </c>
      <c r="B13" s="11" t="s">
        <v>81</v>
      </c>
      <c r="C13" s="47" t="s">
        <v>77</v>
      </c>
      <c r="D13" s="47">
        <v>8.0</v>
      </c>
      <c r="E13" s="47">
        <v>32.0</v>
      </c>
      <c r="F13" s="47">
        <v>0.0</v>
      </c>
      <c r="G13" s="47">
        <v>2.0</v>
      </c>
      <c r="H13" s="47">
        <v>12.0</v>
      </c>
      <c r="I13" s="47">
        <v>12.0</v>
      </c>
      <c r="J13" s="47">
        <v>2.0</v>
      </c>
      <c r="K13" s="47">
        <v>4.0</v>
      </c>
      <c r="L13" s="48">
        <f t="shared" si="2"/>
        <v>653000</v>
      </c>
    </row>
    <row r="14" ht="31.5" customHeight="1">
      <c r="A14" s="60" t="s">
        <v>82</v>
      </c>
      <c r="B14" s="7" t="s">
        <v>83</v>
      </c>
      <c r="C14" s="50" t="s">
        <v>77</v>
      </c>
      <c r="D14" s="50">
        <v>5.0</v>
      </c>
      <c r="E14" s="50">
        <v>20.0</v>
      </c>
      <c r="F14" s="50">
        <v>0.0</v>
      </c>
      <c r="G14" s="50">
        <v>1.0</v>
      </c>
      <c r="H14" s="50">
        <v>8.0</v>
      </c>
      <c r="I14" s="50">
        <v>7.0</v>
      </c>
      <c r="J14" s="50">
        <v>2.0</v>
      </c>
      <c r="K14" s="50">
        <v>2.0</v>
      </c>
      <c r="L14" s="51">
        <f t="shared" si="2"/>
        <v>411500</v>
      </c>
    </row>
    <row r="15" ht="31.5" customHeight="1">
      <c r="A15" s="59" t="s">
        <v>84</v>
      </c>
      <c r="B15" s="11" t="s">
        <v>85</v>
      </c>
      <c r="C15" s="47" t="s">
        <v>77</v>
      </c>
      <c r="D15" s="47">
        <v>8.0</v>
      </c>
      <c r="E15" s="47">
        <v>32.0</v>
      </c>
      <c r="F15" s="47">
        <v>0.0</v>
      </c>
      <c r="G15" s="47">
        <v>2.0</v>
      </c>
      <c r="H15" s="47">
        <v>12.0</v>
      </c>
      <c r="I15" s="47">
        <v>10.0</v>
      </c>
      <c r="J15" s="47">
        <v>2.0</v>
      </c>
      <c r="K15" s="47">
        <v>6.0</v>
      </c>
      <c r="L15" s="48">
        <f t="shared" si="2"/>
        <v>641000</v>
      </c>
    </row>
    <row r="16" ht="31.5" customHeight="1">
      <c r="A16" s="60" t="s">
        <v>86</v>
      </c>
      <c r="B16" s="7" t="s">
        <v>87</v>
      </c>
      <c r="C16" s="50" t="s">
        <v>77</v>
      </c>
      <c r="D16" s="50">
        <v>8.0</v>
      </c>
      <c r="E16" s="50">
        <v>32.0</v>
      </c>
      <c r="F16" s="50">
        <v>0.0</v>
      </c>
      <c r="G16" s="50">
        <v>2.0</v>
      </c>
      <c r="H16" s="50">
        <v>2.0</v>
      </c>
      <c r="I16" s="50">
        <v>14.0</v>
      </c>
      <c r="J16" s="50">
        <v>10.0</v>
      </c>
      <c r="K16" s="50">
        <v>4.0</v>
      </c>
      <c r="L16" s="51">
        <f t="shared" si="2"/>
        <v>707000</v>
      </c>
    </row>
    <row r="17" ht="31.5" customHeight="1">
      <c r="A17" s="59" t="s">
        <v>88</v>
      </c>
      <c r="B17" s="11" t="s">
        <v>89</v>
      </c>
      <c r="C17" s="47" t="s">
        <v>77</v>
      </c>
      <c r="D17" s="47">
        <v>8.0</v>
      </c>
      <c r="E17" s="47">
        <v>32.0</v>
      </c>
      <c r="F17" s="47">
        <v>0.0</v>
      </c>
      <c r="G17" s="47">
        <v>2.0</v>
      </c>
      <c r="H17" s="47">
        <v>12.0</v>
      </c>
      <c r="I17" s="47">
        <v>12.0</v>
      </c>
      <c r="J17" s="47">
        <v>2.0</v>
      </c>
      <c r="K17" s="47">
        <v>4.0</v>
      </c>
      <c r="L17" s="48">
        <f t="shared" si="2"/>
        <v>653000</v>
      </c>
    </row>
    <row r="18" ht="31.5" customHeight="1">
      <c r="A18" s="52" t="s">
        <v>72</v>
      </c>
      <c r="B18" s="53" t="s">
        <v>90</v>
      </c>
      <c r="C18" s="54" t="s">
        <v>77</v>
      </c>
      <c r="D18" s="54" t="s">
        <v>38</v>
      </c>
      <c r="E18" s="54">
        <v>34.0</v>
      </c>
      <c r="F18" s="54">
        <v>18.0</v>
      </c>
      <c r="G18" s="54">
        <v>16.0</v>
      </c>
      <c r="H18" s="54">
        <v>0.0</v>
      </c>
      <c r="I18" s="54">
        <v>0.0</v>
      </c>
      <c r="J18" s="54">
        <v>0.0</v>
      </c>
      <c r="K18" s="54">
        <v>0.0</v>
      </c>
      <c r="L18" s="55">
        <f t="shared" si="2"/>
        <v>880000</v>
      </c>
    </row>
    <row r="19" ht="16.5" customHeight="1">
      <c r="A19" s="61" t="s">
        <v>91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3"/>
    </row>
    <row r="20" ht="31.5" customHeight="1">
      <c r="A20" s="60" t="s">
        <v>92</v>
      </c>
      <c r="B20" s="7" t="s">
        <v>93</v>
      </c>
      <c r="C20" s="50" t="s">
        <v>94</v>
      </c>
      <c r="D20" s="50">
        <v>8.0</v>
      </c>
      <c r="E20" s="50">
        <v>32.0</v>
      </c>
      <c r="F20" s="50">
        <v>0.0</v>
      </c>
      <c r="G20" s="50">
        <v>2.0</v>
      </c>
      <c r="H20" s="50">
        <v>10.0</v>
      </c>
      <c r="I20" s="50">
        <v>10.0</v>
      </c>
      <c r="J20" s="50">
        <v>2.0</v>
      </c>
      <c r="K20" s="50">
        <v>8.0</v>
      </c>
      <c r="L20" s="51">
        <f t="shared" ref="L20:L33" si="3">F20*28000+G20*23500+H20*19000+I20*22000+J20*25000+K20*16000</f>
        <v>635000</v>
      </c>
    </row>
    <row r="21" ht="31.5" customHeight="1">
      <c r="A21" s="59" t="s">
        <v>95</v>
      </c>
      <c r="B21" s="11" t="s">
        <v>96</v>
      </c>
      <c r="C21" s="47" t="s">
        <v>94</v>
      </c>
      <c r="D21" s="47">
        <v>8.0</v>
      </c>
      <c r="E21" s="47">
        <v>32.0</v>
      </c>
      <c r="F21" s="47">
        <v>0.0</v>
      </c>
      <c r="G21" s="47">
        <v>2.0</v>
      </c>
      <c r="H21" s="47">
        <v>10.0</v>
      </c>
      <c r="I21" s="47">
        <v>4.0</v>
      </c>
      <c r="J21" s="47">
        <v>12.0</v>
      </c>
      <c r="K21" s="47">
        <v>4.0</v>
      </c>
      <c r="L21" s="48">
        <f t="shared" si="3"/>
        <v>689000</v>
      </c>
    </row>
    <row r="22" ht="31.5" customHeight="1">
      <c r="A22" s="60" t="s">
        <v>97</v>
      </c>
      <c r="B22" s="7" t="s">
        <v>98</v>
      </c>
      <c r="C22" s="50" t="s">
        <v>94</v>
      </c>
      <c r="D22" s="50">
        <v>13.0</v>
      </c>
      <c r="E22" s="50">
        <v>52.0</v>
      </c>
      <c r="F22" s="50">
        <v>0.0</v>
      </c>
      <c r="G22" s="50">
        <v>2.0</v>
      </c>
      <c r="H22" s="50">
        <v>20.0</v>
      </c>
      <c r="I22" s="50">
        <v>18.0</v>
      </c>
      <c r="J22" s="50">
        <v>6.0</v>
      </c>
      <c r="K22" s="50">
        <v>6.0</v>
      </c>
      <c r="L22" s="51">
        <f t="shared" si="3"/>
        <v>1069000</v>
      </c>
    </row>
    <row r="23" ht="31.5" customHeight="1">
      <c r="A23" s="59" t="s">
        <v>99</v>
      </c>
      <c r="B23" s="11" t="s">
        <v>100</v>
      </c>
      <c r="C23" s="47" t="s">
        <v>94</v>
      </c>
      <c r="D23" s="47">
        <v>13.0</v>
      </c>
      <c r="E23" s="47">
        <v>52.0</v>
      </c>
      <c r="F23" s="47">
        <v>0.0</v>
      </c>
      <c r="G23" s="47">
        <v>2.0</v>
      </c>
      <c r="H23" s="47">
        <v>30.0</v>
      </c>
      <c r="I23" s="47">
        <v>0.0</v>
      </c>
      <c r="J23" s="47">
        <v>14.0</v>
      </c>
      <c r="K23" s="47">
        <v>6.0</v>
      </c>
      <c r="L23" s="48">
        <f t="shared" si="3"/>
        <v>1063000</v>
      </c>
    </row>
    <row r="24" ht="31.5" customHeight="1">
      <c r="A24" s="60" t="s">
        <v>101</v>
      </c>
      <c r="B24" s="7" t="s">
        <v>102</v>
      </c>
      <c r="C24" s="50" t="s">
        <v>94</v>
      </c>
      <c r="D24" s="64">
        <v>8.0</v>
      </c>
      <c r="E24" s="64">
        <v>32.0</v>
      </c>
      <c r="F24" s="64">
        <v>0.0</v>
      </c>
      <c r="G24" s="64">
        <v>2.0</v>
      </c>
      <c r="H24" s="64">
        <v>14.0</v>
      </c>
      <c r="I24" s="64">
        <v>12.0</v>
      </c>
      <c r="J24" s="64">
        <v>2.0</v>
      </c>
      <c r="K24" s="64">
        <v>2.0</v>
      </c>
      <c r="L24" s="51">
        <f t="shared" si="3"/>
        <v>659000</v>
      </c>
    </row>
    <row r="25" ht="31.5" customHeight="1">
      <c r="A25" s="59" t="s">
        <v>103</v>
      </c>
      <c r="B25" s="11" t="s">
        <v>104</v>
      </c>
      <c r="C25" s="47" t="s">
        <v>94</v>
      </c>
      <c r="D25" s="47">
        <v>5.0</v>
      </c>
      <c r="E25" s="47">
        <v>20.0</v>
      </c>
      <c r="F25" s="13">
        <v>0.0</v>
      </c>
      <c r="G25" s="47">
        <v>2.0</v>
      </c>
      <c r="H25" s="47">
        <v>10.0</v>
      </c>
      <c r="I25" s="47">
        <v>4.0</v>
      </c>
      <c r="J25" s="47">
        <v>2.0</v>
      </c>
      <c r="K25" s="47">
        <v>2.0</v>
      </c>
      <c r="L25" s="48">
        <f t="shared" si="3"/>
        <v>407000</v>
      </c>
    </row>
    <row r="26" ht="31.5" customHeight="1">
      <c r="A26" s="60" t="s">
        <v>105</v>
      </c>
      <c r="B26" s="7" t="s">
        <v>106</v>
      </c>
      <c r="C26" s="50" t="s">
        <v>94</v>
      </c>
      <c r="D26" s="64">
        <v>8.0</v>
      </c>
      <c r="E26" s="64">
        <v>32.0</v>
      </c>
      <c r="F26" s="64">
        <v>0.0</v>
      </c>
      <c r="G26" s="64">
        <v>2.0</v>
      </c>
      <c r="H26" s="64">
        <v>14.0</v>
      </c>
      <c r="I26" s="64">
        <v>12.0</v>
      </c>
      <c r="J26" s="64">
        <v>2.0</v>
      </c>
      <c r="K26" s="64">
        <v>2.0</v>
      </c>
      <c r="L26" s="51">
        <f t="shared" si="3"/>
        <v>659000</v>
      </c>
    </row>
    <row r="27" ht="31.5" customHeight="1">
      <c r="A27" s="59" t="s">
        <v>107</v>
      </c>
      <c r="B27" s="11" t="s">
        <v>108</v>
      </c>
      <c r="C27" s="47" t="s">
        <v>94</v>
      </c>
      <c r="D27" s="47">
        <v>5.0</v>
      </c>
      <c r="E27" s="47">
        <v>20.0</v>
      </c>
      <c r="F27" s="47">
        <v>0.0</v>
      </c>
      <c r="G27" s="47">
        <v>1.0</v>
      </c>
      <c r="H27" s="47">
        <v>8.0</v>
      </c>
      <c r="I27" s="47">
        <v>8.0</v>
      </c>
      <c r="J27" s="47">
        <v>2.0</v>
      </c>
      <c r="K27" s="47">
        <v>1.0</v>
      </c>
      <c r="L27" s="48">
        <f t="shared" si="3"/>
        <v>417500</v>
      </c>
    </row>
    <row r="28" ht="31.5" customHeight="1">
      <c r="A28" s="60" t="s">
        <v>109</v>
      </c>
      <c r="B28" s="7" t="s">
        <v>110</v>
      </c>
      <c r="C28" s="50" t="s">
        <v>94</v>
      </c>
      <c r="D28" s="50">
        <v>8.0</v>
      </c>
      <c r="E28" s="50">
        <v>32.0</v>
      </c>
      <c r="F28" s="50">
        <v>0.0</v>
      </c>
      <c r="G28" s="50">
        <v>1.0</v>
      </c>
      <c r="H28" s="50">
        <v>5.0</v>
      </c>
      <c r="I28" s="50">
        <v>14.0</v>
      </c>
      <c r="J28" s="50">
        <v>10.0</v>
      </c>
      <c r="K28" s="50">
        <v>2.0</v>
      </c>
      <c r="L28" s="51">
        <f t="shared" si="3"/>
        <v>708500</v>
      </c>
    </row>
    <row r="29" ht="31.5" customHeight="1">
      <c r="A29" s="59" t="s">
        <v>111</v>
      </c>
      <c r="B29" s="11" t="s">
        <v>112</v>
      </c>
      <c r="C29" s="47" t="s">
        <v>94</v>
      </c>
      <c r="D29" s="47">
        <v>3.0</v>
      </c>
      <c r="E29" s="47">
        <v>12.0</v>
      </c>
      <c r="F29" s="13">
        <v>0.0</v>
      </c>
      <c r="G29" s="47">
        <v>1.0</v>
      </c>
      <c r="H29" s="47">
        <v>6.0</v>
      </c>
      <c r="I29" s="47">
        <v>3.0</v>
      </c>
      <c r="J29" s="47">
        <v>1.0</v>
      </c>
      <c r="K29" s="47">
        <v>1.0</v>
      </c>
      <c r="L29" s="48">
        <f t="shared" si="3"/>
        <v>244500</v>
      </c>
    </row>
    <row r="30" ht="31.5" customHeight="1">
      <c r="A30" s="52" t="s">
        <v>113</v>
      </c>
      <c r="B30" s="53" t="s">
        <v>114</v>
      </c>
      <c r="C30" s="54" t="s">
        <v>94</v>
      </c>
      <c r="D30" s="54" t="s">
        <v>38</v>
      </c>
      <c r="E30" s="54">
        <v>28.0</v>
      </c>
      <c r="F30" s="54">
        <v>4.0</v>
      </c>
      <c r="G30" s="54">
        <v>2.0</v>
      </c>
      <c r="H30" s="54">
        <v>2.0</v>
      </c>
      <c r="I30" s="54">
        <v>2.0</v>
      </c>
      <c r="J30" s="54">
        <v>2.0</v>
      </c>
      <c r="K30" s="54">
        <v>16.0</v>
      </c>
      <c r="L30" s="55">
        <f t="shared" si="3"/>
        <v>547000</v>
      </c>
    </row>
    <row r="31" ht="31.5" customHeight="1">
      <c r="A31" s="52" t="s">
        <v>115</v>
      </c>
      <c r="B31" s="53" t="s">
        <v>116</v>
      </c>
      <c r="C31" s="54" t="s">
        <v>94</v>
      </c>
      <c r="D31" s="54" t="s">
        <v>38</v>
      </c>
      <c r="E31" s="54">
        <v>18.0</v>
      </c>
      <c r="F31" s="54">
        <v>2.0</v>
      </c>
      <c r="G31" s="54">
        <v>2.0</v>
      </c>
      <c r="H31" s="54">
        <v>2.0</v>
      </c>
      <c r="I31" s="54">
        <v>8.0</v>
      </c>
      <c r="J31" s="54">
        <v>4.0</v>
      </c>
      <c r="K31" s="54">
        <v>0.0</v>
      </c>
      <c r="L31" s="55">
        <f t="shared" si="3"/>
        <v>417000</v>
      </c>
    </row>
    <row r="32" ht="31.5" customHeight="1">
      <c r="A32" s="52" t="s">
        <v>117</v>
      </c>
      <c r="B32" s="53" t="s">
        <v>118</v>
      </c>
      <c r="C32" s="54" t="s">
        <v>94</v>
      </c>
      <c r="D32" s="54" t="s">
        <v>38</v>
      </c>
      <c r="E32" s="54">
        <v>14.0</v>
      </c>
      <c r="F32" s="54">
        <v>2.0</v>
      </c>
      <c r="G32" s="54">
        <v>2.0</v>
      </c>
      <c r="H32" s="54">
        <v>2.0</v>
      </c>
      <c r="I32" s="54">
        <v>0.0</v>
      </c>
      <c r="J32" s="54">
        <v>0.0</v>
      </c>
      <c r="K32" s="54">
        <v>8.0</v>
      </c>
      <c r="L32" s="55">
        <f t="shared" si="3"/>
        <v>269000</v>
      </c>
    </row>
    <row r="33" ht="31.5" customHeight="1">
      <c r="A33" s="52" t="s">
        <v>72</v>
      </c>
      <c r="B33" s="53" t="s">
        <v>119</v>
      </c>
      <c r="C33" s="54" t="s">
        <v>94</v>
      </c>
      <c r="D33" s="54" t="s">
        <v>38</v>
      </c>
      <c r="E33" s="54">
        <v>36.0</v>
      </c>
      <c r="F33" s="54">
        <v>20.0</v>
      </c>
      <c r="G33" s="54">
        <v>16.0</v>
      </c>
      <c r="H33" s="54">
        <v>0.0</v>
      </c>
      <c r="I33" s="54">
        <v>0.0</v>
      </c>
      <c r="J33" s="54">
        <v>0.0</v>
      </c>
      <c r="K33" s="54">
        <v>0.0</v>
      </c>
      <c r="L33" s="55">
        <f t="shared" si="3"/>
        <v>936000</v>
      </c>
    </row>
    <row r="34" ht="19.5" customHeight="1">
      <c r="A34" s="65" t="s">
        <v>120</v>
      </c>
      <c r="B34" s="16"/>
      <c r="C34" s="16"/>
      <c r="D34" s="21"/>
      <c r="E34" s="66">
        <f t="shared" ref="E34:K34" si="4">E11+E12+E13+E14+E15+E16+E17+E20+E21+E22+E23+E24+E25+E26+E27+E28+E29</f>
        <v>496</v>
      </c>
      <c r="F34" s="66">
        <f t="shared" si="4"/>
        <v>0</v>
      </c>
      <c r="G34" s="66">
        <f t="shared" si="4"/>
        <v>28</v>
      </c>
      <c r="H34" s="66">
        <f t="shared" si="4"/>
        <v>182</v>
      </c>
      <c r="I34" s="66">
        <f t="shared" si="4"/>
        <v>153</v>
      </c>
      <c r="J34" s="66">
        <f t="shared" si="4"/>
        <v>75</v>
      </c>
      <c r="K34" s="66">
        <f t="shared" si="4"/>
        <v>58</v>
      </c>
      <c r="L34" s="67">
        <f>SUM(L11:L17)+SUM(L20:L29)</f>
        <v>10285000</v>
      </c>
    </row>
    <row r="35" ht="25.5" customHeight="1">
      <c r="A35" s="68" t="s">
        <v>121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21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L1"/>
    <mergeCell ref="A2:L2"/>
    <mergeCell ref="A4:L4"/>
    <mergeCell ref="A10:L10"/>
    <mergeCell ref="A19:L19"/>
    <mergeCell ref="A34:D34"/>
    <mergeCell ref="A35:L35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8.0"/>
    <col customWidth="1" min="2" max="2" width="36.0"/>
    <col customWidth="1" min="3" max="3" width="8.0"/>
    <col customWidth="1" min="4" max="4" width="6.0"/>
    <col customWidth="1" min="5" max="9" width="14.0"/>
    <col customWidth="1" min="10" max="10" width="12.0"/>
    <col customWidth="1" min="11" max="26" width="8.71"/>
  </cols>
  <sheetData>
    <row r="1" ht="25.5" customHeight="1">
      <c r="A1" s="1" t="s">
        <v>122</v>
      </c>
      <c r="B1" s="2"/>
      <c r="C1" s="2"/>
      <c r="D1" s="2"/>
      <c r="E1" s="2"/>
      <c r="F1" s="2"/>
      <c r="G1" s="2"/>
      <c r="H1" s="2"/>
      <c r="I1" s="2"/>
      <c r="J1" s="3"/>
    </row>
    <row r="2" ht="12.75" customHeight="1">
      <c r="A2" s="4" t="s">
        <v>123</v>
      </c>
      <c r="B2" s="2"/>
      <c r="C2" s="2"/>
      <c r="D2" s="2"/>
      <c r="E2" s="2"/>
      <c r="F2" s="2"/>
      <c r="G2" s="2"/>
      <c r="H2" s="2"/>
      <c r="I2" s="2"/>
      <c r="J2" s="3"/>
    </row>
    <row r="3" ht="31.5" customHeight="1">
      <c r="A3" s="6" t="s">
        <v>55</v>
      </c>
      <c r="B3" s="6" t="s">
        <v>56</v>
      </c>
      <c r="C3" s="6" t="s">
        <v>23</v>
      </c>
      <c r="D3" s="6" t="s">
        <v>57</v>
      </c>
      <c r="E3" s="6" t="s">
        <v>124</v>
      </c>
      <c r="F3" s="6" t="s">
        <v>125</v>
      </c>
      <c r="G3" s="6" t="s">
        <v>126</v>
      </c>
      <c r="H3" s="6" t="s">
        <v>127</v>
      </c>
      <c r="I3" s="6" t="s">
        <v>128</v>
      </c>
      <c r="J3" s="6" t="s">
        <v>129</v>
      </c>
    </row>
    <row r="4" ht="16.5" customHeight="1">
      <c r="A4" s="43" t="s">
        <v>130</v>
      </c>
      <c r="B4" s="44"/>
      <c r="C4" s="44"/>
      <c r="D4" s="44"/>
      <c r="E4" s="44"/>
      <c r="F4" s="44"/>
      <c r="G4" s="44"/>
      <c r="H4" s="44"/>
      <c r="I4" s="44"/>
      <c r="J4" s="45"/>
    </row>
    <row r="5" ht="18.0" customHeight="1">
      <c r="A5" s="59" t="s">
        <v>131</v>
      </c>
      <c r="B5" s="11" t="s">
        <v>67</v>
      </c>
      <c r="C5" s="47" t="s">
        <v>68</v>
      </c>
      <c r="D5" s="47">
        <v>2.0</v>
      </c>
      <c r="E5" s="69" t="s">
        <v>132</v>
      </c>
      <c r="F5" s="47"/>
      <c r="G5" s="47"/>
      <c r="H5" s="47"/>
      <c r="I5" s="47"/>
      <c r="J5" s="70" t="s">
        <v>133</v>
      </c>
    </row>
    <row r="6" ht="18.0" customHeight="1">
      <c r="A6" s="60" t="s">
        <v>134</v>
      </c>
      <c r="B6" s="7" t="s">
        <v>69</v>
      </c>
      <c r="C6" s="50" t="s">
        <v>68</v>
      </c>
      <c r="D6" s="50">
        <v>2.0</v>
      </c>
      <c r="E6" s="71" t="s">
        <v>132</v>
      </c>
      <c r="F6" s="50"/>
      <c r="G6" s="50"/>
      <c r="H6" s="50"/>
      <c r="I6" s="50"/>
      <c r="J6" s="70" t="s">
        <v>133</v>
      </c>
    </row>
    <row r="7" ht="18.0" customHeight="1">
      <c r="A7" s="59" t="s">
        <v>135</v>
      </c>
      <c r="B7" s="11" t="s">
        <v>70</v>
      </c>
      <c r="C7" s="47" t="s">
        <v>68</v>
      </c>
      <c r="D7" s="47">
        <v>2.0</v>
      </c>
      <c r="E7" s="69" t="s">
        <v>132</v>
      </c>
      <c r="F7" s="47"/>
      <c r="G7" s="47"/>
      <c r="H7" s="47"/>
      <c r="I7" s="47"/>
      <c r="J7" s="70" t="s">
        <v>133</v>
      </c>
    </row>
    <row r="8" ht="18.0" customHeight="1">
      <c r="A8" s="60" t="s">
        <v>136</v>
      </c>
      <c r="B8" s="7" t="s">
        <v>137</v>
      </c>
      <c r="C8" s="50" t="s">
        <v>68</v>
      </c>
      <c r="D8" s="50">
        <v>2.0</v>
      </c>
      <c r="E8" s="71" t="s">
        <v>132</v>
      </c>
      <c r="F8" s="50"/>
      <c r="G8" s="50"/>
      <c r="H8" s="50"/>
      <c r="I8" s="50"/>
      <c r="J8" s="70" t="s">
        <v>133</v>
      </c>
    </row>
    <row r="9" ht="16.5" customHeight="1">
      <c r="A9" s="56" t="s">
        <v>138</v>
      </c>
      <c r="B9" s="57"/>
      <c r="C9" s="57"/>
      <c r="D9" s="57"/>
      <c r="E9" s="57"/>
      <c r="F9" s="57"/>
      <c r="G9" s="57"/>
      <c r="H9" s="57"/>
      <c r="I9" s="57"/>
      <c r="J9" s="58"/>
    </row>
    <row r="10" ht="18.0" customHeight="1">
      <c r="A10" s="60" t="s">
        <v>75</v>
      </c>
      <c r="B10" s="7" t="s">
        <v>139</v>
      </c>
      <c r="C10" s="50" t="s">
        <v>77</v>
      </c>
      <c r="D10" s="50">
        <v>5.0</v>
      </c>
      <c r="E10" s="50"/>
      <c r="F10" s="71" t="s">
        <v>132</v>
      </c>
      <c r="G10" s="71" t="s">
        <v>132</v>
      </c>
      <c r="H10" s="50"/>
      <c r="I10" s="50"/>
      <c r="J10" s="70" t="s">
        <v>133</v>
      </c>
    </row>
    <row r="11" ht="18.0" customHeight="1">
      <c r="A11" s="59" t="s">
        <v>78</v>
      </c>
      <c r="B11" s="11" t="s">
        <v>140</v>
      </c>
      <c r="C11" s="47" t="s">
        <v>77</v>
      </c>
      <c r="D11" s="47">
        <v>3.0</v>
      </c>
      <c r="E11" s="47"/>
      <c r="F11" s="69" t="s">
        <v>132</v>
      </c>
      <c r="G11" s="69" t="s">
        <v>132</v>
      </c>
      <c r="H11" s="47"/>
      <c r="I11" s="47"/>
      <c r="J11" s="70" t="s">
        <v>133</v>
      </c>
    </row>
    <row r="12" ht="18.0" customHeight="1">
      <c r="A12" s="60" t="s">
        <v>80</v>
      </c>
      <c r="B12" s="7" t="s">
        <v>141</v>
      </c>
      <c r="C12" s="50" t="s">
        <v>77</v>
      </c>
      <c r="D12" s="50">
        <v>8.0</v>
      </c>
      <c r="E12" s="50"/>
      <c r="F12" s="71" t="s">
        <v>132</v>
      </c>
      <c r="G12" s="71" t="s">
        <v>132</v>
      </c>
      <c r="H12" s="50"/>
      <c r="I12" s="50"/>
      <c r="J12" s="70" t="s">
        <v>133</v>
      </c>
    </row>
    <row r="13" ht="18.0" customHeight="1">
      <c r="A13" s="59" t="s">
        <v>82</v>
      </c>
      <c r="B13" s="11" t="s">
        <v>142</v>
      </c>
      <c r="C13" s="47" t="s">
        <v>77</v>
      </c>
      <c r="D13" s="47">
        <v>5.0</v>
      </c>
      <c r="E13" s="47"/>
      <c r="F13" s="69" t="s">
        <v>132</v>
      </c>
      <c r="G13" s="69" t="s">
        <v>132</v>
      </c>
      <c r="H13" s="47"/>
      <c r="I13" s="47"/>
      <c r="J13" s="70" t="s">
        <v>133</v>
      </c>
    </row>
    <row r="14" ht="18.0" customHeight="1">
      <c r="A14" s="60" t="s">
        <v>84</v>
      </c>
      <c r="B14" s="7" t="s">
        <v>143</v>
      </c>
      <c r="C14" s="50" t="s">
        <v>77</v>
      </c>
      <c r="D14" s="50">
        <v>8.0</v>
      </c>
      <c r="E14" s="50"/>
      <c r="F14" s="71" t="s">
        <v>132</v>
      </c>
      <c r="G14" s="71" t="s">
        <v>132</v>
      </c>
      <c r="H14" s="50"/>
      <c r="I14" s="50"/>
      <c r="J14" s="70" t="s">
        <v>133</v>
      </c>
    </row>
    <row r="15" ht="18.0" customHeight="1">
      <c r="A15" s="59" t="s">
        <v>86</v>
      </c>
      <c r="B15" s="11" t="s">
        <v>144</v>
      </c>
      <c r="C15" s="47" t="s">
        <v>77</v>
      </c>
      <c r="D15" s="47">
        <v>8.0</v>
      </c>
      <c r="E15" s="47"/>
      <c r="F15" s="69" t="s">
        <v>132</v>
      </c>
      <c r="G15" s="69" t="s">
        <v>132</v>
      </c>
      <c r="H15" s="47"/>
      <c r="I15" s="47"/>
      <c r="J15" s="70" t="s">
        <v>133</v>
      </c>
    </row>
    <row r="16" ht="18.0" customHeight="1">
      <c r="A16" s="60" t="s">
        <v>88</v>
      </c>
      <c r="B16" s="7" t="s">
        <v>145</v>
      </c>
      <c r="C16" s="50" t="s">
        <v>77</v>
      </c>
      <c r="D16" s="50">
        <v>8.0</v>
      </c>
      <c r="E16" s="50"/>
      <c r="F16" s="71" t="s">
        <v>132</v>
      </c>
      <c r="G16" s="71" t="s">
        <v>132</v>
      </c>
      <c r="H16" s="50"/>
      <c r="I16" s="50"/>
      <c r="J16" s="70" t="s">
        <v>133</v>
      </c>
    </row>
    <row r="17" ht="16.5" customHeight="1">
      <c r="A17" s="61" t="s">
        <v>146</v>
      </c>
      <c r="B17" s="62"/>
      <c r="C17" s="62"/>
      <c r="D17" s="62"/>
      <c r="E17" s="62"/>
      <c r="F17" s="62"/>
      <c r="G17" s="62"/>
      <c r="H17" s="62"/>
      <c r="I17" s="62"/>
      <c r="J17" s="63"/>
    </row>
    <row r="18" ht="18.0" customHeight="1">
      <c r="A18" s="60" t="s">
        <v>92</v>
      </c>
      <c r="B18" s="7" t="s">
        <v>147</v>
      </c>
      <c r="C18" s="50" t="s">
        <v>94</v>
      </c>
      <c r="D18" s="50">
        <v>8.0</v>
      </c>
      <c r="E18" s="50"/>
      <c r="F18" s="50"/>
      <c r="G18" s="50"/>
      <c r="H18" s="71" t="s">
        <v>132</v>
      </c>
      <c r="I18" s="71" t="s">
        <v>132</v>
      </c>
      <c r="J18" s="70" t="s">
        <v>133</v>
      </c>
    </row>
    <row r="19" ht="18.0" customHeight="1">
      <c r="A19" s="59" t="s">
        <v>95</v>
      </c>
      <c r="B19" s="11" t="s">
        <v>148</v>
      </c>
      <c r="C19" s="47" t="s">
        <v>94</v>
      </c>
      <c r="D19" s="47">
        <v>8.0</v>
      </c>
      <c r="E19" s="47"/>
      <c r="F19" s="47"/>
      <c r="G19" s="47"/>
      <c r="H19" s="69" t="s">
        <v>132</v>
      </c>
      <c r="I19" s="69" t="s">
        <v>132</v>
      </c>
      <c r="J19" s="70" t="s">
        <v>133</v>
      </c>
    </row>
    <row r="20" ht="18.0" customHeight="1">
      <c r="A20" s="60" t="s">
        <v>97</v>
      </c>
      <c r="B20" s="7" t="s">
        <v>149</v>
      </c>
      <c r="C20" s="50" t="s">
        <v>94</v>
      </c>
      <c r="D20" s="50">
        <v>13.0</v>
      </c>
      <c r="E20" s="50"/>
      <c r="F20" s="50"/>
      <c r="G20" s="50"/>
      <c r="H20" s="71" t="s">
        <v>132</v>
      </c>
      <c r="I20" s="71" t="s">
        <v>132</v>
      </c>
      <c r="J20" s="70" t="s">
        <v>133</v>
      </c>
    </row>
    <row r="21" ht="18.0" customHeight="1">
      <c r="A21" s="59" t="s">
        <v>99</v>
      </c>
      <c r="B21" s="11" t="s">
        <v>150</v>
      </c>
      <c r="C21" s="47" t="s">
        <v>94</v>
      </c>
      <c r="D21" s="47">
        <v>13.0</v>
      </c>
      <c r="E21" s="47"/>
      <c r="F21" s="47"/>
      <c r="G21" s="47"/>
      <c r="H21" s="69" t="s">
        <v>132</v>
      </c>
      <c r="I21" s="69" t="s">
        <v>132</v>
      </c>
      <c r="J21" s="70" t="s">
        <v>133</v>
      </c>
    </row>
    <row r="22" ht="18.0" customHeight="1">
      <c r="A22" s="60" t="s">
        <v>101</v>
      </c>
      <c r="B22" s="7" t="s">
        <v>151</v>
      </c>
      <c r="C22" s="50" t="s">
        <v>94</v>
      </c>
      <c r="D22" s="9">
        <v>8.0</v>
      </c>
      <c r="E22" s="50"/>
      <c r="F22" s="50"/>
      <c r="G22" s="50"/>
      <c r="H22" s="71" t="s">
        <v>132</v>
      </c>
      <c r="I22" s="71" t="s">
        <v>132</v>
      </c>
      <c r="J22" s="70" t="s">
        <v>133</v>
      </c>
    </row>
    <row r="23" ht="18.0" customHeight="1">
      <c r="A23" s="59" t="s">
        <v>103</v>
      </c>
      <c r="B23" s="11" t="s">
        <v>152</v>
      </c>
      <c r="C23" s="47" t="s">
        <v>94</v>
      </c>
      <c r="D23" s="47">
        <v>5.0</v>
      </c>
      <c r="E23" s="47"/>
      <c r="F23" s="47"/>
      <c r="G23" s="47"/>
      <c r="H23" s="69" t="s">
        <v>132</v>
      </c>
      <c r="I23" s="69" t="s">
        <v>132</v>
      </c>
      <c r="J23" s="70" t="s">
        <v>133</v>
      </c>
    </row>
    <row r="24" ht="18.0" customHeight="1">
      <c r="A24" s="60" t="s">
        <v>105</v>
      </c>
      <c r="B24" s="7" t="s">
        <v>153</v>
      </c>
      <c r="C24" s="50" t="s">
        <v>94</v>
      </c>
      <c r="D24" s="9">
        <v>8.0</v>
      </c>
      <c r="E24" s="50"/>
      <c r="F24" s="50"/>
      <c r="G24" s="50"/>
      <c r="H24" s="71" t="s">
        <v>132</v>
      </c>
      <c r="I24" s="71" t="s">
        <v>132</v>
      </c>
      <c r="J24" s="70" t="s">
        <v>133</v>
      </c>
    </row>
    <row r="25" ht="18.0" customHeight="1">
      <c r="A25" s="59" t="s">
        <v>107</v>
      </c>
      <c r="B25" s="11" t="s">
        <v>154</v>
      </c>
      <c r="C25" s="47" t="s">
        <v>94</v>
      </c>
      <c r="D25" s="47">
        <v>5.0</v>
      </c>
      <c r="E25" s="47"/>
      <c r="F25" s="47"/>
      <c r="G25" s="47"/>
      <c r="H25" s="47"/>
      <c r="I25" s="69" t="s">
        <v>132</v>
      </c>
      <c r="J25" s="70" t="s">
        <v>133</v>
      </c>
    </row>
    <row r="26" ht="18.0" customHeight="1">
      <c r="A26" s="60" t="s">
        <v>109</v>
      </c>
      <c r="B26" s="7" t="s">
        <v>155</v>
      </c>
      <c r="C26" s="50" t="s">
        <v>94</v>
      </c>
      <c r="D26" s="50">
        <v>8.0</v>
      </c>
      <c r="E26" s="50"/>
      <c r="F26" s="50"/>
      <c r="G26" s="50"/>
      <c r="H26" s="50"/>
      <c r="I26" s="71" t="s">
        <v>132</v>
      </c>
      <c r="J26" s="70" t="s">
        <v>133</v>
      </c>
    </row>
    <row r="27" ht="18.0" customHeight="1">
      <c r="A27" s="59" t="s">
        <v>111</v>
      </c>
      <c r="B27" s="11" t="s">
        <v>156</v>
      </c>
      <c r="C27" s="47" t="s">
        <v>94</v>
      </c>
      <c r="D27" s="47">
        <v>3.0</v>
      </c>
      <c r="E27" s="47"/>
      <c r="F27" s="47"/>
      <c r="G27" s="47"/>
      <c r="H27" s="47"/>
      <c r="I27" s="69" t="s">
        <v>132</v>
      </c>
      <c r="J27" s="70" t="s">
        <v>133</v>
      </c>
    </row>
    <row r="28" ht="18.0" customHeight="1">
      <c r="A28" s="60" t="s">
        <v>157</v>
      </c>
      <c r="B28" s="7" t="s">
        <v>158</v>
      </c>
      <c r="C28" s="50" t="s">
        <v>94</v>
      </c>
      <c r="D28" s="50" t="s">
        <v>38</v>
      </c>
      <c r="E28" s="50"/>
      <c r="F28" s="50"/>
      <c r="G28" s="50"/>
      <c r="H28" s="71" t="s">
        <v>132</v>
      </c>
      <c r="I28" s="71" t="s">
        <v>132</v>
      </c>
      <c r="J28" s="70" t="s">
        <v>133</v>
      </c>
    </row>
    <row r="29" ht="15.75" customHeight="1">
      <c r="A29" s="72" t="s">
        <v>159</v>
      </c>
      <c r="B29" s="16"/>
      <c r="C29" s="16"/>
      <c r="D29" s="16"/>
      <c r="E29" s="16"/>
      <c r="F29" s="16"/>
      <c r="G29" s="16"/>
      <c r="H29" s="16"/>
      <c r="I29" s="16"/>
      <c r="J29" s="21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J1"/>
    <mergeCell ref="A2:J2"/>
    <mergeCell ref="A4:J4"/>
    <mergeCell ref="A9:J9"/>
    <mergeCell ref="A17:J17"/>
    <mergeCell ref="A29:J29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2026-04-14T05:11:37Z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