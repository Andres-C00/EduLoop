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</sheets>
  <definedNames/>
  <calcPr/>
  <extLst>
    <ext uri="GoogleSheetsCustomDataVersion2">
      <go:sheetsCustomData xmlns:go="http://customooxmlschemas.google.com/" r:id="rId5" roundtripDataChecksum="sRGwDol8DBGWc/y4NlsA6KmmlAtd+iiecgLj2lwCE1M="/>
    </ext>
  </extLst>
</workbook>
</file>

<file path=xl/sharedStrings.xml><?xml version="1.0" encoding="utf-8"?>
<sst xmlns="http://schemas.openxmlformats.org/spreadsheetml/2006/main" count="185" uniqueCount="116">
  <si>
    <t>PRODUCT BACKLOG  ·  EduLoop — Ciclo de Vida del Desarrollo de Software</t>
  </si>
  <si>
    <t>Sprint 0: 02 mar – 07 abr  │  Sprint 1: 08 abr – 30 abr  │  Sprint 2: 01 may – 27 may  │  Entrega final: 31 may 2026</t>
  </si>
  <si>
    <t>Equipo: Luis  ·  Juan  ·  Carlos  ·  Freddy  ·  Mario  ·  Yeison     │     Priorización: Método MoSCoW     │     Escala SP: Fibonacci (1-13)</t>
  </si>
  <si>
    <t>ID</t>
  </si>
  <si>
    <t>Épica</t>
  </si>
  <si>
    <t>Historia de Usuario</t>
  </si>
  <si>
    <t>Criterios de Aceptación</t>
  </si>
  <si>
    <t>MoSCoW</t>
  </si>
  <si>
    <t>Valor
(/10)</t>
  </si>
  <si>
    <t>Story
Points</t>
  </si>
  <si>
    <t>Sprint</t>
  </si>
  <si>
    <t>Responsable</t>
  </si>
  <si>
    <t>Fecha
Límite</t>
  </si>
  <si>
    <t>▶  MUST HAVE</t>
  </si>
  <si>
    <t>HU-01</t>
  </si>
  <si>
    <t>Autenticación y Seguridad</t>
  </si>
  <si>
    <t>Como visitante, quiero registrarme en EduLoop con mi nombre, correo y contraseña para crear una cuenta y acceder a los contenidos educativos.</t>
  </si>
  <si>
    <t>✔ Formulario valida formato de correo y contraseña ≥ 8 caracteres
✔ Correo único: error claro si ya existe
✔ Contraseña almacenada con hash bcrypt (ORM)
✔ Confirmación por correo electrónico al registrarse</t>
  </si>
  <si>
    <t>Must Have</t>
  </si>
  <si>
    <t>Sprint 1</t>
  </si>
  <si>
    <t>Freddy / Carlos</t>
  </si>
  <si>
    <t>30/04/2026</t>
  </si>
  <si>
    <t>HU-02</t>
  </si>
  <si>
    <t>Como usuario registrado, quiero iniciar y cerrar sesión de forma segura para que mi progreso y datos estén protegidos en todo momento.</t>
  </si>
  <si>
    <t>✔ Login con correo + contraseña; sesión persistente vía JWT
✔ Botón de cerrar sesión invalida el token en servidor
✔ Redirección automática al dashboard tras login exitoso
✔ Mensaje de error descriptivo al ingresar credenciales incorrectas</t>
  </si>
  <si>
    <t>HU-03</t>
  </si>
  <si>
    <t>Contenido Educativo</t>
  </si>
  <si>
    <t>Como usuario, quiero explorar módulos teóricos sobre cada fase y modelo del Ciclo de Vida del Software para comprender los fundamentos antes de practicar.</t>
  </si>
  <si>
    <t>✔ Al menos 6 módulos (Cascada, Iterativo, Espiral, Ágil, DevOps, V-Model)
✔ Cada módulo incluye texto, imágenes y objetivos de aprendizaje visibles
✔ Contenido marcable como leído; persiste entre sesiones (ORM)
✔ Navegación secuencial y libre dentro del nivel activo</t>
  </si>
  <si>
    <t>Carlos / Freddy</t>
  </si>
  <si>
    <t>HU-04</t>
  </si>
  <si>
    <t>Niveles y Progresión</t>
  </si>
  <si>
    <t>Como usuario, quiero navegar entre dos niveles de dificultad (Básico y Avanzado) y saber en todo momento qué me falta completar para seguir avanzando.</t>
  </si>
  <si>
    <t>✔ Nivel Básico activo por defecto al registrarse
✔ Nivel Avanzado se desbloquea al superar el 100 % del Nivel Básico
✔ Barra de progreso visible y actualizada en tiempo real
✔ Indicador de temas completados vs. pendientes por nivel</t>
  </si>
  <si>
    <t>HU-05</t>
  </si>
  <si>
    <t>Evaluación</t>
  </si>
  <si>
    <t>Como usuario, quiero responder cuestionarios por módulo con retroalimentación inmediata para saber qué aprendí y qué debo repasar.</t>
  </si>
  <si>
    <t>✔ Mínimo 5 preguntas por módulo (opción múltiple, V/F, completar)
✔ Feedback visual e instantáneo: correcto ✅ / incorrecto ❌ + explicación
✔ Sin recarga de página (interacción dinámica)
✔ Resultado del cuestionario guardado con timestamp en BD (ORM)</t>
  </si>
  <si>
    <t>HU-06</t>
  </si>
  <si>
    <t>Como usuario, quiero realizar un examen final al concluir cada nivel para obtener un puntaje oficial y validar mis conocimientos adquiridos.</t>
  </si>
  <si>
    <t>✔ Examen con mínimo 20 preguntas aleatorias del banco de preguntas del nivel
✔ Puntaje final expresado en porcentaje; aprobación ≥ 70 %
✔ Retroalimentación detallada pregunta a pregunta al finalizar
✔ Resultado persistido en BD; intentos registrados con fecha (ORM)</t>
  </si>
  <si>
    <t>Sprint 2</t>
  </si>
  <si>
    <t>27/05/2026</t>
  </si>
  <si>
    <t>HU-07</t>
  </si>
  <si>
    <t>Reportes y Estadísticas</t>
  </si>
  <si>
    <t>Como usuario, quiero visualizar mi desempeño global mediante un dashboard con gráficas interactivas para analizar mi progreso y exportar un reporte.</t>
  </si>
  <si>
    <t>✔ Gráfica de puntos acumulados por semana (línea o barras)
✔ Mapa de calor o radar de fortalezas y debilidades por módulo
✔ Indicadores: tasa de aciertos, tiempo promedio, rachas activas
✔ Exportación del reporte en PDF con fecha de generación</t>
  </si>
  <si>
    <t>Mario / Carlos</t>
  </si>
  <si>
    <t>HU-08</t>
  </si>
  <si>
    <t>Web Services / API</t>
  </si>
  <si>
    <t>Como usuario, quiero que la aplicación consuma una API REST para que todas mis acciones (registro, módulos, actividades y puntajes) se procesen y sincronicen en tiempo real entre la web y el móvil.</t>
  </si>
  <si>
    <t>✔ Endpoints CRUD disponibles para: usuarios, módulos, actividades y puntajes
✔ Autenticación en cada endpoint vía Bearer Token (JWT)
✔ Documentación interactiva disponible en /api/docs (Swagger / OpenAPI)
✔ Respuestas estandarizadas: código HTTP, mensaje y datos en JSON</t>
  </si>
  <si>
    <t>Freddy / Mario</t>
  </si>
  <si>
    <t>▶  SHOULD HAVE</t>
  </si>
  <si>
    <t>HU-09</t>
  </si>
  <si>
    <t>Componentes Interactivos</t>
  </si>
  <si>
    <t>Como usuario, quiero practicar con actividades lúdicas variadas (arrastrar tarjetas, conectar columnas, completar frases) para consolidar conceptos de forma dinámica.</t>
  </si>
  <si>
    <t>✔ Actividad drag-and-drop: ordenar fases del ciclo de vida
✔ Actividad matching: conectar cada modelo con su característica clave
✔ Actividad fill-in-the-blank: completar definiciones con campo editable
✔ Funcional en pantalla táctil (móvil) y escritorio; feedback visual inmediato</t>
  </si>
  <si>
    <t>Should Have</t>
  </si>
  <si>
    <t>HU-10</t>
  </si>
  <si>
    <t>Como usuario, quiero interactuar con una simulación visual o modelo animado de una fase del ciclo de vida para comprender su flujo de manera inmersiva.</t>
  </si>
  <si>
    <t>✔ Al menos un componente 3D, simulación o animación integrada
✔ El componente es controlable por el usuario (avanzar, pausar, reiniciar)
✔ Acompañado de narración textual o audio descriptivo
✔ Renderiza correctamente en web y en la vista móvil (responsive)</t>
  </si>
  <si>
    <t>Carlos</t>
  </si>
  <si>
    <t>HU-11</t>
  </si>
  <si>
    <t>Gamificación</t>
  </si>
  <si>
    <t>Como usuario, quiero ganar puntos, mantener una racha diaria y tener vidas limitadas al responder para sentir que cada decisión importa mientras aprendo.</t>
  </si>
  <si>
    <t>✔ +10 pts por respuesta correcta; -0 pts por incorrecta
✔ Sistema de vidas: 5 por sesión, se pierde 1 por error; se recuperan en 20 mins
✔ Racha: contador de días consecutivos activos; se reinicia al fallar un día
✔ Insignia desbloqueada al completar un módulo sin errores ('¡Sin fallos!')</t>
  </si>
  <si>
    <t>HU-12</t>
  </si>
  <si>
    <t>Perfil de Usuario</t>
  </si>
  <si>
    <t>Como usuario, quiero editar mi perfil (nombre, correo y contraseña) y eliminar mi cuenta desde la configuración de la aplicación para gestionar mi información personal.</t>
  </si>
  <si>
    <t>✔ Formulario de edición permite actualizar nombre, correo y contraseña con validación
✔ Cambio de contraseña requiere confirmación de la contraseña actual
✔ Opción de eliminar cuenta con confirmación explícita del usuario
✔ Cambios persistidos en BD inmediatamente tras guardar (ORM)</t>
  </si>
  <si>
    <t>HU-13</t>
  </si>
  <si>
    <t>Búsqueda y Filtros</t>
  </si>
  <si>
    <t>Como usuario, quiero buscar módulos y lecciones por nombre o tema, y filtrar el contenido por nivel de dificultad, para encontrar rápidamente lo que necesito aprender.</t>
  </si>
  <si>
    <t>✔ Barra de búsqueda disponible en la pantalla principal con resultados en tiempo real
✔ Filtros por nivel (Básico / Avanzado) y por estado (completado / pendiente)
✔ Resultados muestran título del módulo, descripción breve y estado de avance
✔ Mensaje amigable cuando la búsqueda no arroja resultados</t>
  </si>
  <si>
    <t>HU-14</t>
  </si>
  <si>
    <t>Certificado de Finalización</t>
  </si>
  <si>
    <t>Como usuario, quiero obtener y descargar un certificado digital al completar satisfactoriamente un nivel, para tener evidencia de mi aprendizaje.</t>
  </si>
  <si>
    <t>✔ Certificado generado automáticamente al aprobar el examen final del nivel (puntaje ≥ 70 %)
✔ Incluye nombre del usuario, nivel completado, puntaje obtenido y fecha de emisión
✔ Descargable en formato PDF desde el dashboard del usuario
✔ Registro del certificado emitido persistido en BD (ORM)</t>
  </si>
  <si>
    <t>Carlos  / Freddy</t>
  </si>
  <si>
    <t>▶  COULD HAVE</t>
  </si>
  <si>
    <t>HU-15</t>
  </si>
  <si>
    <t>Como usuario, quiero ver una tabla de clasificación global y comparar mi puntaje con el de otros usuarios para motivarme a superar mi desempeño.</t>
  </si>
  <si>
    <t>✔ Top-10 actualizado en tiempo real al finalizar cada actividad
✔ Destacar la posición propia aunque no esté en el top-10
✔ Opción de hacer el perfil anónimo en el ranking
✔ Filtros: ranking global / ranking por nivel</t>
  </si>
  <si>
    <t>Could Have</t>
  </si>
  <si>
    <t>HU-16</t>
  </si>
  <si>
    <t>Seguimiento</t>
  </si>
  <si>
    <t>Como usuario, quiero que la plataforma identifique mis preguntas fallidas y me las repita en sesiones futuras para reforzar mis puntos débiles automáticamente.</t>
  </si>
  <si>
    <t>✔ Registro de cada respuesta incorrecta con ID de pregunta (ORM)
✔ Algoritmo de repaso espaciado: la pregunta reaparece cada 2-4 sesiones
✔ Sección visible 'Mis puntos débiles' en el dashboard
✔ El repaso se detiene cuando se acierta la pregunta 3 veces seguidas</t>
  </si>
  <si>
    <t>HU-17</t>
  </si>
  <si>
    <t>Notificaciones</t>
  </si>
  <si>
    <t>Como usuario, quiero recibir notificaciones dentro de la aplicación que me avisen cuando completo un módulo, desbloqueo un nivel o rompo mi racha de actividad, para mantenerme motivado.</t>
  </si>
  <si>
    <t>✔ Notificación in-app al completar un módulo o desbloquear el nivel Avanzado
✔ Alerta visible cuando la racha diaria está en riesgo de perderse
✔ Historial de notificaciones accesible desde un ícono en la barra de navegación
✔ Opción para marcar notificaciones como leídas; contador de no leídas visible</t>
  </si>
  <si>
    <t>▶  WON'T HAVE</t>
  </si>
  <si>
    <t>HU-18</t>
  </si>
  <si>
    <t>Como usuario, quiero iniciar sesión con mi cuenta de Google o Microsoft (SSO) para acceder sin crear credenciales adicionales.</t>
  </si>
  <si>
    <t>✔ Botón 'Continuar con Google' / 'Continuar con Microsoft' en pantalla de login
✔ Flujo OAuth 2.0 manejado de forma segura (sin exponer client_secret al cliente)
✔ Vinculación automática si el correo OAuth coincide con cuenta existente
✔ Desvinculación disponible desde la configuración del perfil</t>
  </si>
  <si>
    <t>Won't Have</t>
  </si>
  <si>
    <t>Sprint —</t>
  </si>
  <si>
    <t>—</t>
  </si>
  <si>
    <t>RESUMEN  ·  Story Points y Distribución MoSCoW</t>
  </si>
  <si>
    <t>Categoría MoSCoW</t>
  </si>
  <si>
    <t># HU</t>
  </si>
  <si>
    <t>Story Points</t>
  </si>
  <si>
    <t>% del Total SP</t>
  </si>
  <si>
    <t>Prioridad</t>
  </si>
  <si>
    <t>Alta — núcleo del MVP</t>
  </si>
  <si>
    <t>Media — valor incremental</t>
  </si>
  <si>
    <t>Baja — mejora opcional</t>
  </si>
  <si>
    <t>Nula — fuera de alcance v1</t>
  </si>
  <si>
    <t>TOTAL ACTIVO (sin Won't Have)</t>
  </si>
  <si>
    <t>LEYENDA  ·  Método de Priorización MoSCoW</t>
  </si>
  <si>
    <t>Imprescindible. El producto no es viable sin esta funcionalidad o incumple un requisito explícito del docente.</t>
  </si>
  <si>
    <t>Importante. Aporta valor significativo y debe incluirse si la capacidad del sprint lo permite.</t>
  </si>
  <si>
    <t>Deseable. Mejora la experiencia pero no es crítica; se descarta ante limitaciones de tiempo o equipo.</t>
  </si>
  <si>
    <t>Fuera de alcance en esta versión. Documentado formalmente para roadmap futuro del producto.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</si>
</sst>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6">
    <font>
      <sz val="11.0"/>
      <color theme="1"/>
      <name val="Calibri"/>
      <scheme val="minor"/>
    </font>
    <font>
      <b/>
      <sz val="16.0"/>
      <color rgb="FFFFFFFF"/>
      <name val="Calibri"/>
    </font>
    <font/>
    <font>
      <i/>
      <sz val="9.0"/>
      <color rgb="FFC8D4F5"/>
      <name val="Calibri"/>
    </font>
    <font>
      <sz val="9.0"/>
      <color rgb="FFA0AECE"/>
      <name val="Calibri"/>
    </font>
    <font>
      <b/>
      <sz val="10.0"/>
      <color rgb="FFFFFFFF"/>
      <name val="Calibri"/>
    </font>
    <font>
      <b/>
      <sz val="9.0"/>
      <color rgb="FFC0392B"/>
      <name val="Calibri"/>
    </font>
    <font>
      <sz val="9.0"/>
      <color rgb="FF222222"/>
      <name val="Calibri"/>
    </font>
    <font>
      <sz val="9.0"/>
      <color rgb="FF444444"/>
      <name val="Calibri"/>
    </font>
    <font>
      <b/>
      <sz val="9.0"/>
      <color rgb="FF7B0000"/>
      <name val="Calibri"/>
    </font>
    <font>
      <b/>
      <sz val="10.0"/>
      <color rgb="FF2952C4"/>
      <name val="Calibri"/>
    </font>
    <font>
      <b/>
      <sz val="9.0"/>
      <color rgb="FFE67E22"/>
      <name val="Calibri"/>
    </font>
    <font>
      <b/>
      <sz val="9.0"/>
      <color rgb="FF5C3200"/>
      <name val="Calibri"/>
    </font>
    <font>
      <b/>
      <sz val="9.0"/>
      <color rgb="FF27AE60"/>
      <name val="Calibri"/>
    </font>
    <font>
      <b/>
      <sz val="9.0"/>
      <color rgb="FF1B3A12"/>
      <name val="Calibri"/>
    </font>
    <font>
      <b/>
      <sz val="9.0"/>
      <color rgb="FF2C2C2C"/>
      <name val="Calibri"/>
    </font>
    <font>
      <b/>
      <sz val="11.0"/>
      <color rgb="FFFFFFFF"/>
      <name val="Calibri"/>
    </font>
    <font>
      <b/>
      <sz val="9.0"/>
      <color rgb="FFFFFFFF"/>
      <name val="Calibri"/>
    </font>
    <font>
      <sz val="10.0"/>
      <color rgb="FF222222"/>
      <name val="Calibri"/>
    </font>
    <font>
      <sz val="9.0"/>
      <color rgb="FF555555"/>
      <name val="Calibri"/>
    </font>
    <font>
      <i/>
      <sz val="9.0"/>
      <color rgb="FF7B0000"/>
      <name val="Calibri"/>
    </font>
    <font>
      <i/>
      <sz val="9.0"/>
      <color rgb="FF5C3200"/>
      <name val="Calibri"/>
    </font>
    <font>
      <i/>
      <sz val="9.0"/>
      <color rgb="FF1B3A12"/>
      <name val="Calibri"/>
    </font>
    <font>
      <i/>
      <sz val="9.0"/>
      <color rgb="FF2C2C2C"/>
      <name val="Calibri"/>
    </font>
    <font>
      <sz val="11.0"/>
      <color theme="1"/>
      <name val="Calibri"/>
    </font>
    <font>
      <sz val="9.0"/>
      <color rgb="FF333333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0D1B4B"/>
        <bgColor rgb="FF0D1B4B"/>
      </patternFill>
    </fill>
    <fill>
      <patternFill patternType="solid">
        <fgColor rgb="FF1A3A8F"/>
        <bgColor rgb="FF1A3A8F"/>
      </patternFill>
    </fill>
    <fill>
      <patternFill patternType="solid">
        <fgColor rgb="FF2952C4"/>
        <bgColor rgb="FF2952C4"/>
      </patternFill>
    </fill>
    <fill>
      <patternFill patternType="solid">
        <fgColor rgb="FFFFD0D0"/>
        <bgColor rgb="FFFFD0D0"/>
      </patternFill>
    </fill>
    <fill>
      <patternFill patternType="solid">
        <fgColor rgb="FFFFE5E5"/>
        <bgColor rgb="FFFFE5E5"/>
      </patternFill>
    </fill>
    <fill>
      <patternFill patternType="solid">
        <fgColor rgb="FFFFE8C0"/>
        <bgColor rgb="FFFFE8C0"/>
      </patternFill>
    </fill>
    <fill>
      <patternFill patternType="solid">
        <fgColor rgb="FFFFF3E0"/>
        <bgColor rgb="FFFFF3E0"/>
      </patternFill>
    </fill>
    <fill>
      <patternFill patternType="solid">
        <fgColor rgb="FFC8EDD0"/>
        <bgColor rgb="FFC8EDD0"/>
      </patternFill>
    </fill>
    <fill>
      <patternFill patternType="solid">
        <fgColor rgb="FFE8F5E9"/>
        <bgColor rgb="FFE8F5E9"/>
      </patternFill>
    </fill>
    <fill>
      <patternFill patternType="solid">
        <fgColor rgb="FFE0E0E0"/>
        <bgColor rgb="FFE0E0E0"/>
      </patternFill>
    </fill>
    <fill>
      <patternFill patternType="solid">
        <fgColor rgb="FFEBEBEB"/>
        <bgColor rgb="FFEBEBEB"/>
      </patternFill>
    </fill>
    <fill>
      <patternFill patternType="solid">
        <fgColor rgb="FFF7F8FC"/>
        <bgColor rgb="FFF7F8FC"/>
      </patternFill>
    </fill>
  </fills>
  <borders count="21">
    <border/>
    <border>
      <left/>
      <top/>
      <bottom/>
    </border>
    <border>
      <top/>
      <bottom/>
    </border>
    <border>
      <right/>
      <top/>
      <bottom/>
    </border>
    <border>
      <left style="thin">
        <color rgb="FF1A3A8F"/>
      </left>
      <right style="thin">
        <color rgb="FF1A3A8F"/>
      </right>
      <top style="thin">
        <color rgb="FF1A3A8F"/>
      </top>
      <bottom style="thin">
        <color rgb="FF1A3A8F"/>
      </bottom>
    </border>
    <border>
      <left style="thin">
        <color rgb="FFC0392B"/>
      </left>
      <top style="thin">
        <color rgb="FFC0392B"/>
      </top>
      <bottom style="thin">
        <color rgb="FFC0392B"/>
      </bottom>
    </border>
    <border>
      <top style="thin">
        <color rgb="FFC0392B"/>
      </top>
      <bottom style="thin">
        <color rgb="FFC0392B"/>
      </bottom>
    </border>
    <border>
      <right/>
      <top style="thin">
        <color rgb="FFC0392B"/>
      </top>
      <bottom style="thin">
        <color rgb="FFC0392B"/>
      </bottom>
    </border>
    <border>
      <left style="thin">
        <color rgb="FFB0B8D0"/>
      </left>
      <right style="thin">
        <color rgb="FFB0B8D0"/>
      </right>
      <top style="thin">
        <color rgb="FFB0B8D0"/>
      </top>
      <bottom style="thin">
        <color rgb="FFB0B8D0"/>
      </bottom>
    </border>
    <border>
      <left style="thin">
        <color rgb="FFE67E22"/>
      </left>
      <top style="thin">
        <color rgb="FFE67E22"/>
      </top>
      <bottom style="thin">
        <color rgb="FFE67E22"/>
      </bottom>
    </border>
    <border>
      <top style="thin">
        <color rgb="FFE67E22"/>
      </top>
      <bottom style="thin">
        <color rgb="FFE67E22"/>
      </bottom>
    </border>
    <border>
      <right/>
      <top style="thin">
        <color rgb="FFE67E22"/>
      </top>
      <bottom style="thin">
        <color rgb="FFE67E22"/>
      </bottom>
    </border>
    <border>
      <left style="thin">
        <color rgb="FF27AE60"/>
      </left>
      <top style="thin">
        <color rgb="FF27AE60"/>
      </top>
      <bottom style="thin">
        <color rgb="FF27AE60"/>
      </bottom>
    </border>
    <border>
      <top style="thin">
        <color rgb="FF27AE60"/>
      </top>
      <bottom style="thin">
        <color rgb="FF27AE60"/>
      </bottom>
    </border>
    <border>
      <right/>
      <top style="thin">
        <color rgb="FF27AE60"/>
      </top>
      <bottom style="thin">
        <color rgb="FF27AE60"/>
      </bottom>
    </border>
    <border>
      <left style="thin">
        <color rgb="FF2C2C2C"/>
      </left>
      <top style="thin">
        <color rgb="FF2C2C2C"/>
      </top>
      <bottom style="thin">
        <color rgb="FF2C2C2C"/>
      </bottom>
    </border>
    <border>
      <top style="thin">
        <color rgb="FF2C2C2C"/>
      </top>
      <bottom style="thin">
        <color rgb="FF2C2C2C"/>
      </bottom>
    </border>
    <border>
      <right/>
      <top style="thin">
        <color rgb="FF2C2C2C"/>
      </top>
      <bottom style="thin">
        <color rgb="FF2C2C2C"/>
      </bottom>
    </border>
    <border>
      <left style="thin">
        <color rgb="FFB0B8D0"/>
      </left>
      <top style="thin">
        <color rgb="FFB0B8D0"/>
      </top>
      <bottom style="thin">
        <color rgb="FFB0B8D0"/>
      </bottom>
    </border>
    <border>
      <top style="thin">
        <color rgb="FFB0B8D0"/>
      </top>
      <bottom style="thin">
        <color rgb="FFB0B8D0"/>
      </bottom>
    </border>
    <border>
      <right/>
      <top style="thin">
        <color rgb="FFB0B8D0"/>
      </top>
      <bottom style="thin">
        <color rgb="FFB0B8D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4" fillId="4" fontId="5" numFmtId="0" xfId="0" applyAlignment="1" applyBorder="1" applyFill="1" applyFont="1">
      <alignment horizontal="center" shrinkToFit="0" vertical="center" wrapText="1"/>
    </xf>
    <xf borderId="5" fillId="5" fontId="6" numFmtId="0" xfId="0" applyAlignment="1" applyBorder="1" applyFill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8" fillId="6" fontId="7" numFmtId="0" xfId="0" applyAlignment="1" applyBorder="1" applyFill="1" applyFont="1">
      <alignment horizontal="center" shrinkToFit="0" vertical="center" wrapText="1"/>
    </xf>
    <xf borderId="8" fillId="6" fontId="7" numFmtId="0" xfId="0" applyAlignment="1" applyBorder="1" applyFont="1">
      <alignment horizontal="left" shrinkToFit="0" vertical="center" wrapText="1"/>
    </xf>
    <xf borderId="8" fillId="6" fontId="8" numFmtId="0" xfId="0" applyAlignment="1" applyBorder="1" applyFont="1">
      <alignment horizontal="left" shrinkToFit="0" vertical="center" wrapText="1"/>
    </xf>
    <xf borderId="8" fillId="6" fontId="9" numFmtId="0" xfId="0" applyAlignment="1" applyBorder="1" applyFont="1">
      <alignment horizontal="center" shrinkToFit="0" vertical="center" wrapText="1"/>
    </xf>
    <xf borderId="8" fillId="6" fontId="10" numFmtId="0" xfId="0" applyAlignment="1" applyBorder="1" applyFont="1">
      <alignment horizontal="center" vertical="center"/>
    </xf>
    <xf borderId="8" fillId="6" fontId="8" numFmtId="0" xfId="0" applyAlignment="1" applyBorder="1" applyFont="1">
      <alignment horizontal="left" readingOrder="0" shrinkToFit="0" vertical="center" wrapText="1"/>
    </xf>
    <xf borderId="8" fillId="6" fontId="7" numFmtId="0" xfId="0" applyAlignment="1" applyBorder="1" applyFont="1">
      <alignment horizontal="center" readingOrder="0" shrinkToFit="0" vertical="center" wrapText="1"/>
    </xf>
    <xf borderId="9" fillId="7" fontId="11" numFmtId="0" xfId="0" applyAlignment="1" applyBorder="1" applyFill="1" applyFont="1">
      <alignment horizontal="left" vertical="center"/>
    </xf>
    <xf borderId="10" fillId="0" fontId="2" numFmtId="0" xfId="0" applyBorder="1" applyFont="1"/>
    <xf borderId="11" fillId="0" fontId="2" numFmtId="0" xfId="0" applyBorder="1" applyFont="1"/>
    <xf borderId="8" fillId="8" fontId="7" numFmtId="0" xfId="0" applyAlignment="1" applyBorder="1" applyFill="1" applyFont="1">
      <alignment horizontal="center" shrinkToFit="0" vertical="center" wrapText="1"/>
    </xf>
    <xf borderId="8" fillId="8" fontId="7" numFmtId="0" xfId="0" applyAlignment="1" applyBorder="1" applyFont="1">
      <alignment horizontal="left" shrinkToFit="0" vertical="center" wrapText="1"/>
    </xf>
    <xf borderId="8" fillId="8" fontId="8" numFmtId="0" xfId="0" applyAlignment="1" applyBorder="1" applyFont="1">
      <alignment horizontal="left" shrinkToFit="0" vertical="center" wrapText="1"/>
    </xf>
    <xf borderId="8" fillId="8" fontId="12" numFmtId="0" xfId="0" applyAlignment="1" applyBorder="1" applyFont="1">
      <alignment horizontal="center" shrinkToFit="0" vertical="center" wrapText="1"/>
    </xf>
    <xf borderId="8" fillId="8" fontId="10" numFmtId="0" xfId="0" applyAlignment="1" applyBorder="1" applyFont="1">
      <alignment horizontal="center" vertical="center"/>
    </xf>
    <xf borderId="8" fillId="8" fontId="8" numFmtId="0" xfId="0" applyAlignment="1" applyBorder="1" applyFont="1">
      <alignment horizontal="left" readingOrder="0" shrinkToFit="0" vertical="center" wrapText="1"/>
    </xf>
    <xf borderId="8" fillId="8" fontId="7" numFmtId="0" xfId="0" applyAlignment="1" applyBorder="1" applyFont="1">
      <alignment horizontal="center" readingOrder="0" shrinkToFit="0" vertical="center" wrapText="1"/>
    </xf>
    <xf borderId="12" fillId="9" fontId="13" numFmtId="0" xfId="0" applyAlignment="1" applyBorder="1" applyFill="1" applyFont="1">
      <alignment horizontal="left" vertical="center"/>
    </xf>
    <xf borderId="13" fillId="0" fontId="2" numFmtId="0" xfId="0" applyBorder="1" applyFont="1"/>
    <xf borderId="14" fillId="0" fontId="2" numFmtId="0" xfId="0" applyBorder="1" applyFont="1"/>
    <xf borderId="8" fillId="10" fontId="7" numFmtId="0" xfId="0" applyAlignment="1" applyBorder="1" applyFill="1" applyFont="1">
      <alignment horizontal="center" shrinkToFit="0" vertical="center" wrapText="1"/>
    </xf>
    <xf borderId="8" fillId="10" fontId="7" numFmtId="0" xfId="0" applyAlignment="1" applyBorder="1" applyFont="1">
      <alignment horizontal="left" shrinkToFit="0" vertical="center" wrapText="1"/>
    </xf>
    <xf borderId="8" fillId="10" fontId="8" numFmtId="0" xfId="0" applyAlignment="1" applyBorder="1" applyFont="1">
      <alignment horizontal="left" shrinkToFit="0" vertical="center" wrapText="1"/>
    </xf>
    <xf borderId="8" fillId="10" fontId="14" numFmtId="0" xfId="0" applyAlignment="1" applyBorder="1" applyFont="1">
      <alignment horizontal="center" shrinkToFit="0" vertical="center" wrapText="1"/>
    </xf>
    <xf borderId="8" fillId="10" fontId="10" numFmtId="0" xfId="0" applyAlignment="1" applyBorder="1" applyFont="1">
      <alignment horizontal="center" vertical="center"/>
    </xf>
    <xf borderId="8" fillId="10" fontId="7" numFmtId="0" xfId="0" applyAlignment="1" applyBorder="1" applyFont="1">
      <alignment horizontal="center" readingOrder="0" shrinkToFit="0" vertical="center" wrapText="1"/>
    </xf>
    <xf borderId="15" fillId="11" fontId="15" numFmtId="0" xfId="0" applyAlignment="1" applyBorder="1" applyFill="1" applyFont="1">
      <alignment horizontal="left" vertical="center"/>
    </xf>
    <xf borderId="16" fillId="0" fontId="2" numFmtId="0" xfId="0" applyBorder="1" applyFont="1"/>
    <xf borderId="17" fillId="0" fontId="2" numFmtId="0" xfId="0" applyBorder="1" applyFont="1"/>
    <xf borderId="8" fillId="12" fontId="7" numFmtId="0" xfId="0" applyAlignment="1" applyBorder="1" applyFill="1" applyFont="1">
      <alignment horizontal="center" shrinkToFit="0" vertical="center" wrapText="1"/>
    </xf>
    <xf borderId="8" fillId="12" fontId="7" numFmtId="0" xfId="0" applyAlignment="1" applyBorder="1" applyFont="1">
      <alignment horizontal="left" shrinkToFit="0" vertical="center" wrapText="1"/>
    </xf>
    <xf borderId="8" fillId="12" fontId="8" numFmtId="0" xfId="0" applyAlignment="1" applyBorder="1" applyFont="1">
      <alignment horizontal="left" shrinkToFit="0" vertical="center" wrapText="1"/>
    </xf>
    <xf borderId="8" fillId="12" fontId="15" numFmtId="0" xfId="0" applyAlignment="1" applyBorder="1" applyFont="1">
      <alignment horizontal="center" shrinkToFit="0" vertical="center" wrapText="1"/>
    </xf>
    <xf borderId="8" fillId="12" fontId="10" numFmtId="0" xfId="0" applyAlignment="1" applyBorder="1" applyFont="1">
      <alignment horizontal="center" vertical="center"/>
    </xf>
    <xf borderId="1" fillId="2" fontId="16" numFmtId="0" xfId="0" applyAlignment="1" applyBorder="1" applyFont="1">
      <alignment horizontal="center" vertical="center"/>
    </xf>
    <xf borderId="8" fillId="4" fontId="17" numFmtId="0" xfId="0" applyAlignment="1" applyBorder="1" applyFont="1">
      <alignment horizontal="center" shrinkToFit="0" vertical="center" wrapText="1"/>
    </xf>
    <xf borderId="8" fillId="13" fontId="18" numFmtId="0" xfId="0" applyAlignment="1" applyBorder="1" applyFill="1" applyFont="1">
      <alignment horizontal="center" vertical="center"/>
    </xf>
    <xf borderId="8" fillId="13" fontId="10" numFmtId="0" xfId="0" applyAlignment="1" applyBorder="1" applyFont="1">
      <alignment horizontal="center" vertical="center"/>
    </xf>
    <xf borderId="8" fillId="13" fontId="19" numFmtId="164" xfId="0" applyAlignment="1" applyBorder="1" applyFont="1" applyNumberFormat="1">
      <alignment horizontal="center" vertical="center"/>
    </xf>
    <xf borderId="8" fillId="6" fontId="20" numFmtId="0" xfId="0" applyAlignment="1" applyBorder="1" applyFont="1">
      <alignment horizontal="center" shrinkToFit="0" vertical="center" wrapText="1"/>
    </xf>
    <xf borderId="8" fillId="8" fontId="21" numFmtId="0" xfId="0" applyAlignment="1" applyBorder="1" applyFont="1">
      <alignment horizontal="center" shrinkToFit="0" vertical="center" wrapText="1"/>
    </xf>
    <xf borderId="8" fillId="10" fontId="22" numFmtId="0" xfId="0" applyAlignment="1" applyBorder="1" applyFont="1">
      <alignment horizontal="center" shrinkToFit="0" vertical="center" wrapText="1"/>
    </xf>
    <xf borderId="8" fillId="12" fontId="23" numFmtId="0" xfId="0" applyAlignment="1" applyBorder="1" applyFont="1">
      <alignment horizontal="center" shrinkToFit="0" vertical="center" wrapText="1"/>
    </xf>
    <xf borderId="8" fillId="2" fontId="17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center" vertical="center"/>
    </xf>
    <xf borderId="8" fillId="2" fontId="16" numFmtId="0" xfId="0" applyAlignment="1" applyBorder="1" applyFont="1">
      <alignment horizontal="center" vertical="center"/>
    </xf>
    <xf borderId="8" fillId="2" fontId="24" numFmtId="0" xfId="0" applyBorder="1" applyFont="1"/>
    <xf borderId="1" fillId="3" fontId="5" numFmtId="0" xfId="0" applyAlignment="1" applyBorder="1" applyFont="1">
      <alignment horizontal="center" vertical="center"/>
    </xf>
    <xf borderId="18" fillId="13" fontId="25" numFmtId="0" xfId="0" applyAlignment="1" applyBorder="1" applyFont="1">
      <alignment horizontal="left" shrinkToFit="0" vertical="center" wrapText="1"/>
    </xf>
    <xf borderId="19" fillId="0" fontId="2" numFmtId="0" xfId="0" applyBorder="1" applyFont="1"/>
    <xf borderId="2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47.0"/>
    <col customWidth="1" min="4" max="4" width="57.57"/>
    <col customWidth="1" min="5" max="5" width="10.29"/>
    <col customWidth="1" min="6" max="6" width="9.29"/>
    <col customWidth="1" min="7" max="7" width="5.86"/>
    <col customWidth="1" min="8" max="8" width="9.0"/>
    <col customWidth="1" min="9" max="9" width="20.0"/>
    <col customWidth="1" min="10" max="10" width="13.0"/>
    <col customWidth="1" min="11" max="26" width="8.71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4.2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3" ht="14.2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3"/>
    </row>
    <row r="4" ht="27.0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</row>
    <row r="5" ht="14.25" customHeight="1">
      <c r="A5" s="7" t="s">
        <v>13</v>
      </c>
      <c r="B5" s="8"/>
      <c r="C5" s="8"/>
      <c r="D5" s="8"/>
      <c r="E5" s="8"/>
      <c r="F5" s="8"/>
      <c r="G5" s="8"/>
      <c r="H5" s="8"/>
      <c r="I5" s="8"/>
      <c r="J5" s="9"/>
    </row>
    <row r="6" ht="60.0" customHeight="1">
      <c r="A6" s="10" t="s">
        <v>14</v>
      </c>
      <c r="B6" s="11" t="s">
        <v>15</v>
      </c>
      <c r="C6" s="12" t="s">
        <v>16</v>
      </c>
      <c r="D6" s="12" t="s">
        <v>17</v>
      </c>
      <c r="E6" s="13" t="s">
        <v>18</v>
      </c>
      <c r="F6" s="14">
        <v>10.0</v>
      </c>
      <c r="G6" s="14">
        <v>5.0</v>
      </c>
      <c r="H6" s="10" t="s">
        <v>19</v>
      </c>
      <c r="I6" s="10" t="s">
        <v>20</v>
      </c>
      <c r="J6" s="10" t="s">
        <v>21</v>
      </c>
    </row>
    <row r="7" ht="96.0" customHeight="1">
      <c r="A7" s="10" t="s">
        <v>22</v>
      </c>
      <c r="B7" s="11" t="s">
        <v>15</v>
      </c>
      <c r="C7" s="12" t="s">
        <v>23</v>
      </c>
      <c r="D7" s="12" t="s">
        <v>24</v>
      </c>
      <c r="E7" s="13" t="s">
        <v>18</v>
      </c>
      <c r="F7" s="14">
        <v>10.0</v>
      </c>
      <c r="G7" s="14">
        <v>3.0</v>
      </c>
      <c r="H7" s="10" t="s">
        <v>19</v>
      </c>
      <c r="I7" s="10" t="s">
        <v>20</v>
      </c>
      <c r="J7" s="10" t="s">
        <v>21</v>
      </c>
    </row>
    <row r="8" ht="96.0" customHeight="1">
      <c r="A8" s="10" t="s">
        <v>25</v>
      </c>
      <c r="B8" s="11" t="s">
        <v>26</v>
      </c>
      <c r="C8" s="12" t="s">
        <v>27</v>
      </c>
      <c r="D8" s="12" t="s">
        <v>28</v>
      </c>
      <c r="E8" s="13" t="s">
        <v>18</v>
      </c>
      <c r="F8" s="14">
        <v>10.0</v>
      </c>
      <c r="G8" s="14">
        <v>8.0</v>
      </c>
      <c r="H8" s="10" t="s">
        <v>19</v>
      </c>
      <c r="I8" s="10" t="s">
        <v>29</v>
      </c>
      <c r="J8" s="10" t="s">
        <v>21</v>
      </c>
    </row>
    <row r="9" ht="84.0" customHeight="1">
      <c r="A9" s="10" t="s">
        <v>30</v>
      </c>
      <c r="B9" s="11" t="s">
        <v>31</v>
      </c>
      <c r="C9" s="12" t="s">
        <v>32</v>
      </c>
      <c r="D9" s="15" t="s">
        <v>33</v>
      </c>
      <c r="E9" s="13" t="s">
        <v>18</v>
      </c>
      <c r="F9" s="14">
        <v>10.0</v>
      </c>
      <c r="G9" s="14">
        <v>5.0</v>
      </c>
      <c r="H9" s="10" t="s">
        <v>19</v>
      </c>
      <c r="I9" s="10" t="s">
        <v>29</v>
      </c>
      <c r="J9" s="10" t="s">
        <v>21</v>
      </c>
    </row>
    <row r="10" ht="84.0" customHeight="1">
      <c r="A10" s="10" t="s">
        <v>34</v>
      </c>
      <c r="B10" s="11" t="s">
        <v>35</v>
      </c>
      <c r="C10" s="12" t="s">
        <v>36</v>
      </c>
      <c r="D10" s="15" t="s">
        <v>37</v>
      </c>
      <c r="E10" s="13" t="s">
        <v>18</v>
      </c>
      <c r="F10" s="14">
        <v>10.0</v>
      </c>
      <c r="G10" s="14">
        <v>8.0</v>
      </c>
      <c r="H10" s="10" t="s">
        <v>19</v>
      </c>
      <c r="I10" s="10" t="s">
        <v>29</v>
      </c>
      <c r="J10" s="10" t="s">
        <v>21</v>
      </c>
    </row>
    <row r="11" ht="96.0" customHeight="1">
      <c r="A11" s="10" t="s">
        <v>38</v>
      </c>
      <c r="B11" s="11" t="s">
        <v>35</v>
      </c>
      <c r="C11" s="12" t="s">
        <v>39</v>
      </c>
      <c r="D11" s="12" t="s">
        <v>40</v>
      </c>
      <c r="E11" s="13" t="s">
        <v>18</v>
      </c>
      <c r="F11" s="14">
        <v>10.0</v>
      </c>
      <c r="G11" s="14">
        <v>8.0</v>
      </c>
      <c r="H11" s="10" t="s">
        <v>41</v>
      </c>
      <c r="I11" s="16" t="s">
        <v>29</v>
      </c>
      <c r="J11" s="10" t="s">
        <v>42</v>
      </c>
    </row>
    <row r="12" ht="96.0" customHeight="1">
      <c r="A12" s="10" t="s">
        <v>43</v>
      </c>
      <c r="B12" s="11" t="s">
        <v>44</v>
      </c>
      <c r="C12" s="12" t="s">
        <v>45</v>
      </c>
      <c r="D12" s="12" t="s">
        <v>46</v>
      </c>
      <c r="E12" s="13" t="s">
        <v>18</v>
      </c>
      <c r="F12" s="14">
        <v>9.0</v>
      </c>
      <c r="G12" s="14">
        <v>8.0</v>
      </c>
      <c r="H12" s="10" t="s">
        <v>41</v>
      </c>
      <c r="I12" s="10" t="s">
        <v>47</v>
      </c>
      <c r="J12" s="10" t="s">
        <v>42</v>
      </c>
    </row>
    <row r="13" ht="96.0" customHeight="1">
      <c r="A13" s="10" t="s">
        <v>48</v>
      </c>
      <c r="B13" s="11" t="s">
        <v>49</v>
      </c>
      <c r="C13" s="12" t="s">
        <v>50</v>
      </c>
      <c r="D13" s="12" t="s">
        <v>51</v>
      </c>
      <c r="E13" s="13" t="s">
        <v>18</v>
      </c>
      <c r="F13" s="14">
        <v>10.0</v>
      </c>
      <c r="G13" s="14">
        <v>8.0</v>
      </c>
      <c r="H13" s="10" t="s">
        <v>19</v>
      </c>
      <c r="I13" s="16" t="s">
        <v>52</v>
      </c>
      <c r="J13" s="10" t="s">
        <v>21</v>
      </c>
    </row>
    <row r="14" ht="14.25" customHeight="1">
      <c r="A14" s="17" t="s">
        <v>53</v>
      </c>
      <c r="B14" s="18"/>
      <c r="C14" s="18"/>
      <c r="D14" s="18"/>
      <c r="E14" s="18"/>
      <c r="F14" s="18"/>
      <c r="G14" s="18"/>
      <c r="H14" s="18"/>
      <c r="I14" s="18"/>
      <c r="J14" s="19"/>
    </row>
    <row r="15" ht="96.0" customHeight="1">
      <c r="A15" s="20" t="s">
        <v>54</v>
      </c>
      <c r="B15" s="21" t="s">
        <v>55</v>
      </c>
      <c r="C15" s="22" t="s">
        <v>56</v>
      </c>
      <c r="D15" s="22" t="s">
        <v>57</v>
      </c>
      <c r="E15" s="23" t="s">
        <v>58</v>
      </c>
      <c r="F15" s="24">
        <v>9.0</v>
      </c>
      <c r="G15" s="24">
        <v>13.0</v>
      </c>
      <c r="H15" s="20" t="s">
        <v>41</v>
      </c>
      <c r="I15" s="20" t="s">
        <v>29</v>
      </c>
      <c r="J15" s="20" t="s">
        <v>42</v>
      </c>
    </row>
    <row r="16" ht="96.0" customHeight="1">
      <c r="A16" s="20" t="s">
        <v>59</v>
      </c>
      <c r="B16" s="21" t="s">
        <v>55</v>
      </c>
      <c r="C16" s="22" t="s">
        <v>60</v>
      </c>
      <c r="D16" s="22" t="s">
        <v>61</v>
      </c>
      <c r="E16" s="23" t="s">
        <v>58</v>
      </c>
      <c r="F16" s="24">
        <v>9.0</v>
      </c>
      <c r="G16" s="24">
        <v>13.0</v>
      </c>
      <c r="H16" s="20" t="s">
        <v>41</v>
      </c>
      <c r="I16" s="20" t="s">
        <v>62</v>
      </c>
      <c r="J16" s="20" t="s">
        <v>42</v>
      </c>
    </row>
    <row r="17" ht="84.0" customHeight="1">
      <c r="A17" s="20" t="s">
        <v>63</v>
      </c>
      <c r="B17" s="21" t="s">
        <v>64</v>
      </c>
      <c r="C17" s="22" t="s">
        <v>65</v>
      </c>
      <c r="D17" s="25" t="s">
        <v>66</v>
      </c>
      <c r="E17" s="23" t="s">
        <v>58</v>
      </c>
      <c r="F17" s="24">
        <v>8.0</v>
      </c>
      <c r="G17" s="24">
        <v>8.0</v>
      </c>
      <c r="H17" s="20" t="s">
        <v>19</v>
      </c>
      <c r="I17" s="20" t="s">
        <v>20</v>
      </c>
      <c r="J17" s="20" t="s">
        <v>21</v>
      </c>
    </row>
    <row r="18" ht="84.0" customHeight="1">
      <c r="A18" s="20" t="s">
        <v>67</v>
      </c>
      <c r="B18" s="21" t="s">
        <v>68</v>
      </c>
      <c r="C18" s="22" t="s">
        <v>69</v>
      </c>
      <c r="D18" s="22" t="s">
        <v>70</v>
      </c>
      <c r="E18" s="23" t="s">
        <v>58</v>
      </c>
      <c r="F18" s="24">
        <v>8.0</v>
      </c>
      <c r="G18" s="24">
        <v>8.0</v>
      </c>
      <c r="H18" s="20" t="s">
        <v>41</v>
      </c>
      <c r="I18" s="20" t="s">
        <v>29</v>
      </c>
      <c r="J18" s="20" t="s">
        <v>42</v>
      </c>
    </row>
    <row r="19" ht="96.0" customHeight="1">
      <c r="A19" s="20" t="s">
        <v>71</v>
      </c>
      <c r="B19" s="21" t="s">
        <v>72</v>
      </c>
      <c r="C19" s="22" t="s">
        <v>73</v>
      </c>
      <c r="D19" s="22" t="s">
        <v>74</v>
      </c>
      <c r="E19" s="23" t="s">
        <v>58</v>
      </c>
      <c r="F19" s="24">
        <v>9.0</v>
      </c>
      <c r="G19" s="24">
        <v>5.0</v>
      </c>
      <c r="H19" s="20" t="s">
        <v>41</v>
      </c>
      <c r="I19" s="26" t="s">
        <v>29</v>
      </c>
      <c r="J19" s="20" t="s">
        <v>42</v>
      </c>
    </row>
    <row r="20" ht="96.0" customHeight="1">
      <c r="A20" s="20" t="s">
        <v>75</v>
      </c>
      <c r="B20" s="21" t="s">
        <v>76</v>
      </c>
      <c r="C20" s="22" t="s">
        <v>77</v>
      </c>
      <c r="D20" s="22" t="s">
        <v>78</v>
      </c>
      <c r="E20" s="23" t="s">
        <v>58</v>
      </c>
      <c r="F20" s="24">
        <v>8.0</v>
      </c>
      <c r="G20" s="24">
        <v>8.0</v>
      </c>
      <c r="H20" s="20" t="s">
        <v>41</v>
      </c>
      <c r="I20" s="26" t="s">
        <v>79</v>
      </c>
      <c r="J20" s="20" t="s">
        <v>42</v>
      </c>
    </row>
    <row r="21" ht="14.25" customHeight="1">
      <c r="A21" s="27" t="s">
        <v>80</v>
      </c>
      <c r="B21" s="28"/>
      <c r="C21" s="28"/>
      <c r="D21" s="28"/>
      <c r="E21" s="28"/>
      <c r="F21" s="28"/>
      <c r="G21" s="28"/>
      <c r="H21" s="28"/>
      <c r="I21" s="28"/>
      <c r="J21" s="29"/>
    </row>
    <row r="22" ht="72.0" customHeight="1">
      <c r="A22" s="30" t="s">
        <v>81</v>
      </c>
      <c r="B22" s="31" t="s">
        <v>64</v>
      </c>
      <c r="C22" s="32" t="s">
        <v>82</v>
      </c>
      <c r="D22" s="32" t="s">
        <v>83</v>
      </c>
      <c r="E22" s="33" t="s">
        <v>84</v>
      </c>
      <c r="F22" s="34">
        <v>6.0</v>
      </c>
      <c r="G22" s="34">
        <v>5.0</v>
      </c>
      <c r="H22" s="30" t="s">
        <v>41</v>
      </c>
      <c r="I22" s="30" t="s">
        <v>20</v>
      </c>
      <c r="J22" s="30" t="s">
        <v>42</v>
      </c>
    </row>
    <row r="23" ht="96.0" customHeight="1">
      <c r="A23" s="30" t="s">
        <v>85</v>
      </c>
      <c r="B23" s="31" t="s">
        <v>86</v>
      </c>
      <c r="C23" s="32" t="s">
        <v>87</v>
      </c>
      <c r="D23" s="32" t="s">
        <v>88</v>
      </c>
      <c r="E23" s="33" t="s">
        <v>84</v>
      </c>
      <c r="F23" s="34">
        <v>7.0</v>
      </c>
      <c r="G23" s="34">
        <v>8.0</v>
      </c>
      <c r="H23" s="30" t="s">
        <v>41</v>
      </c>
      <c r="I23" s="30" t="s">
        <v>52</v>
      </c>
      <c r="J23" s="30" t="s">
        <v>42</v>
      </c>
    </row>
    <row r="24" ht="96.0" customHeight="1">
      <c r="A24" s="30" t="s">
        <v>89</v>
      </c>
      <c r="B24" s="31" t="s">
        <v>90</v>
      </c>
      <c r="C24" s="32" t="s">
        <v>91</v>
      </c>
      <c r="D24" s="32" t="s">
        <v>92</v>
      </c>
      <c r="E24" s="33" t="s">
        <v>84</v>
      </c>
      <c r="F24" s="34">
        <v>5.0</v>
      </c>
      <c r="G24" s="34">
        <v>3.0</v>
      </c>
      <c r="H24" s="30" t="s">
        <v>41</v>
      </c>
      <c r="I24" s="35" t="s">
        <v>29</v>
      </c>
      <c r="J24" s="30" t="s">
        <v>42</v>
      </c>
    </row>
    <row r="25" ht="14.25" customHeight="1">
      <c r="A25" s="36" t="s">
        <v>93</v>
      </c>
      <c r="B25" s="37"/>
      <c r="C25" s="37"/>
      <c r="D25" s="37"/>
      <c r="E25" s="37"/>
      <c r="F25" s="37"/>
      <c r="G25" s="37"/>
      <c r="H25" s="37"/>
      <c r="I25" s="37"/>
      <c r="J25" s="38"/>
    </row>
    <row r="26" ht="96.0" customHeight="1">
      <c r="A26" s="39" t="s">
        <v>94</v>
      </c>
      <c r="B26" s="40" t="s">
        <v>15</v>
      </c>
      <c r="C26" s="41" t="s">
        <v>95</v>
      </c>
      <c r="D26" s="41" t="s">
        <v>96</v>
      </c>
      <c r="E26" s="42" t="s">
        <v>97</v>
      </c>
      <c r="F26" s="43">
        <v>3.0</v>
      </c>
      <c r="G26" s="43">
        <v>5.0</v>
      </c>
      <c r="H26" s="39" t="s">
        <v>98</v>
      </c>
      <c r="I26" s="39" t="s">
        <v>99</v>
      </c>
      <c r="J26" s="39" t="s">
        <v>99</v>
      </c>
    </row>
    <row r="27" ht="14.25" customHeight="1"/>
    <row r="28" ht="14.25" customHeight="1">
      <c r="A28" s="44" t="s">
        <v>100</v>
      </c>
      <c r="B28" s="2"/>
      <c r="C28" s="2"/>
      <c r="D28" s="2"/>
      <c r="E28" s="2"/>
      <c r="F28" s="2"/>
      <c r="G28" s="2"/>
      <c r="H28" s="2"/>
      <c r="I28" s="2"/>
      <c r="J28" s="3"/>
    </row>
    <row r="29" ht="14.25" customHeight="1">
      <c r="B29" s="45" t="s">
        <v>101</v>
      </c>
      <c r="C29" s="45" t="s">
        <v>102</v>
      </c>
      <c r="D29" s="45" t="s">
        <v>103</v>
      </c>
      <c r="E29" s="45" t="s">
        <v>104</v>
      </c>
      <c r="F29" s="45" t="s">
        <v>105</v>
      </c>
    </row>
    <row r="30" ht="36.0" customHeight="1">
      <c r="B30" s="13" t="s">
        <v>18</v>
      </c>
      <c r="C30" s="46">
        <f>COUNTIF(E5:E26,"Must Have")</f>
        <v>8</v>
      </c>
      <c r="D30" s="47">
        <f>SUMIF(E5:E26,"Must Have",G5:G26)</f>
        <v>53</v>
      </c>
      <c r="E30" s="48">
        <f>D30/D34</f>
        <v>0.4274193548</v>
      </c>
      <c r="F30" s="49" t="s">
        <v>106</v>
      </c>
    </row>
    <row r="31" ht="36.0" customHeight="1">
      <c r="B31" s="23" t="s">
        <v>58</v>
      </c>
      <c r="C31" s="46">
        <f>COUNTIF(E5:E26,"Should Have")</f>
        <v>6</v>
      </c>
      <c r="D31" s="47">
        <f>SUMIF(E5:E26,"Should Have",G5:G26)</f>
        <v>55</v>
      </c>
      <c r="E31" s="48">
        <f>D31/D34</f>
        <v>0.4435483871</v>
      </c>
      <c r="F31" s="50" t="s">
        <v>107</v>
      </c>
    </row>
    <row r="32" ht="36.0" customHeight="1">
      <c r="B32" s="33" t="s">
        <v>84</v>
      </c>
      <c r="C32" s="46">
        <f>COUNTIF(E5:E26,"Could Have")</f>
        <v>3</v>
      </c>
      <c r="D32" s="47">
        <f>SUMIF(E5:E26,"Could Have",G5:G26)</f>
        <v>16</v>
      </c>
      <c r="E32" s="48">
        <f>D32/D34</f>
        <v>0.1290322581</v>
      </c>
      <c r="F32" s="51" t="s">
        <v>108</v>
      </c>
    </row>
    <row r="33" ht="36.0" customHeight="1">
      <c r="B33" s="42" t="s">
        <v>97</v>
      </c>
      <c r="C33" s="46">
        <f>COUNTIF(E5:E26,"Won't Have")</f>
        <v>1</v>
      </c>
      <c r="D33" s="47">
        <f>SUMIF(E5:E26,"Won't Have",G5:G26)</f>
        <v>5</v>
      </c>
      <c r="E33" s="48">
        <f>D33/D34</f>
        <v>0.04032258065</v>
      </c>
      <c r="F33" s="52" t="s">
        <v>109</v>
      </c>
    </row>
    <row r="34" ht="24.0" customHeight="1">
      <c r="B34" s="53" t="s">
        <v>110</v>
      </c>
      <c r="C34" s="54">
        <f>COUNTIF(E5:E26,"Must Have")+COUNTIF(E5:E26,"Should Have")+COUNTIF(E5:E26,"Could Have")</f>
        <v>17</v>
      </c>
      <c r="D34" s="55">
        <f>SUMIF(E5:E26,"Must Have",G5:G26)+SUMIF(E5:E26,"Should Have",G5:G26)+SUMIF(E5:E26,"Could Have",G5:G26)</f>
        <v>124</v>
      </c>
      <c r="E34" s="56"/>
      <c r="F34" s="56"/>
    </row>
    <row r="35" ht="14.25" customHeight="1"/>
    <row r="36" ht="14.25" customHeight="1">
      <c r="A36" s="57" t="s">
        <v>111</v>
      </c>
      <c r="B36" s="2"/>
      <c r="C36" s="2"/>
      <c r="D36" s="2"/>
      <c r="E36" s="2"/>
      <c r="F36" s="2"/>
      <c r="G36" s="2"/>
      <c r="H36" s="2"/>
      <c r="I36" s="2"/>
      <c r="J36" s="3"/>
    </row>
    <row r="37" ht="24.0" customHeight="1">
      <c r="A37" s="13" t="s">
        <v>18</v>
      </c>
      <c r="B37" s="58" t="s">
        <v>112</v>
      </c>
      <c r="C37" s="59"/>
      <c r="D37" s="59"/>
      <c r="E37" s="59"/>
      <c r="F37" s="59"/>
      <c r="G37" s="59"/>
      <c r="H37" s="59"/>
      <c r="I37" s="59"/>
      <c r="J37" s="60"/>
    </row>
    <row r="38" ht="24.0" customHeight="1">
      <c r="A38" s="23" t="s">
        <v>58</v>
      </c>
      <c r="B38" s="58" t="s">
        <v>113</v>
      </c>
      <c r="C38" s="59"/>
      <c r="D38" s="59"/>
      <c r="E38" s="59"/>
      <c r="F38" s="59"/>
      <c r="G38" s="59"/>
      <c r="H38" s="59"/>
      <c r="I38" s="59"/>
      <c r="J38" s="60"/>
    </row>
    <row r="39" ht="24.0" customHeight="1">
      <c r="A39" s="33" t="s">
        <v>84</v>
      </c>
      <c r="B39" s="58" t="s">
        <v>114</v>
      </c>
      <c r="C39" s="59"/>
      <c r="D39" s="59"/>
      <c r="E39" s="59"/>
      <c r="F39" s="59"/>
      <c r="G39" s="59"/>
      <c r="H39" s="59"/>
      <c r="I39" s="59"/>
      <c r="J39" s="60"/>
    </row>
    <row r="40" ht="24.0" customHeight="1">
      <c r="A40" s="42" t="s">
        <v>97</v>
      </c>
      <c r="B40" s="58" t="s">
        <v>115</v>
      </c>
      <c r="C40" s="59"/>
      <c r="D40" s="59"/>
      <c r="E40" s="59"/>
      <c r="F40" s="59"/>
      <c r="G40" s="59"/>
      <c r="H40" s="59"/>
      <c r="I40" s="59"/>
      <c r="J40" s="6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A28:J28"/>
    <mergeCell ref="A36:J36"/>
    <mergeCell ref="B37:J37"/>
    <mergeCell ref="B38:J38"/>
    <mergeCell ref="B39:J39"/>
    <mergeCell ref="B40:J40"/>
    <mergeCell ref="A1:J1"/>
    <mergeCell ref="A2:J2"/>
    <mergeCell ref="A3:J3"/>
    <mergeCell ref="A5:J5"/>
    <mergeCell ref="A14:J14"/>
    <mergeCell ref="A21:J21"/>
    <mergeCell ref="A25:J25"/>
  </mergeCells>
  <printOptions/>
  <pageMargins bottom="0.75" footer="0.0" header="0.0" left="0.5" right="0.5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2026-04-14T04:34:45Z</dcterms:created>
  <dc:creator>openpyxl</dc:creator>
</cp:coreProperties>
</file>